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91897\Downloads\"/>
    </mc:Choice>
  </mc:AlternateContent>
  <xr:revisionPtr revIDLastSave="0" documentId="13_ncr:1_{F28AF8F7-E729-45BF-8E4E-2FF478DABF0B}" xr6:coauthVersionLast="47" xr6:coauthVersionMax="47" xr10:uidLastSave="{00000000-0000-0000-0000-000000000000}"/>
  <bookViews>
    <workbookView xWindow="-108" yWindow="-108" windowWidth="23256" windowHeight="12456" firstSheet="1" activeTab="3" xr2:uid="{00000000-000D-0000-FFFF-FFFF00000000}"/>
  </bookViews>
  <sheets>
    <sheet name="bike_buyers" sheetId="1" r:id="rId1"/>
    <sheet name="Working Sheet" sheetId="2" r:id="rId2"/>
    <sheet name="Pivot Table" sheetId="3" r:id="rId3"/>
    <sheet name="Dashboard" sheetId="5" r:id="rId4"/>
  </sheets>
  <definedNames>
    <definedName name="_xlnm._FilterDatabase" localSheetId="0" hidden="1">bike_buyers!$A$1:$M$1001</definedName>
    <definedName name="Slicer_Education">#N/A</definedName>
    <definedName name="Slicer_Martial_status">#N/A</definedName>
    <definedName name="Slicer_Region">#N/A</definedName>
  </definedNames>
  <calcPr calcId="191029"/>
  <pivotCaches>
    <pivotCache cacheId="1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<sst xmlns="http://schemas.openxmlformats.org/spreadsheetml/2006/main" count="16274" uniqueCount="52">
  <si>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</si>
  <si>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</si>
  <si>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</si>
  <si>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</si>
  <si>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</si>
  <si>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</si>
  <si>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</si>
  <si>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</si>
  <si>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</si>
  <si>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</si>
  <si>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</si>
  <si>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</si>
  <si>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</si>
  <si>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</si>
  <si>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</si>
  <si>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</si>
  <si>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</si>
  <si>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</si>
  <si>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</si>
  <si>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</si>
  <si>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</si>
  <si>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</si>
  <si>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</si>
  <si>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</si>
  <si>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</si>
  <si>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</si>
  <si>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</si>
  <si>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</si>
  <si>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</si>
  <si>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</si>
  <si>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</si>
  <si>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</si>
  <si>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</si>
  <si>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</si>
  <si>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</si>
  <si>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</si>
  <si>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</si>
  <si>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</si>
  <si>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</si>
  <si>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</si>
  <si>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</si>
  <si>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Martial status</t>
  </si>
  <si>
    <t>Row Labels</t>
  </si>
  <si>
    <t>Grand Total</t>
  </si>
  <si>
    <t>Average of Income</t>
  </si>
  <si>
    <t>Column Labels</t>
  </si>
  <si>
    <t>Count of Purchased Bike</t>
  </si>
  <si>
    <t>Middle Age 31-54</t>
  </si>
  <si>
    <t>Old 55+</t>
  </si>
  <si>
    <t>Adolescent 0-30</t>
  </si>
  <si>
    <t>BIKE SALES DASHBOARD</t>
  </si>
  <si>
    <r>
      <rPr>
        <b/>
        <sz val="11"/>
        <color theme="1"/>
        <rFont val="Calibri"/>
        <family val="2"/>
        <scheme val="minor"/>
      </rPr>
      <t>Purchased</t>
    </r>
    <r>
      <rPr>
        <sz val="11"/>
        <color theme="1"/>
        <rFont val="Calibri"/>
        <family val="2"/>
        <scheme val="minor"/>
      </rPr>
      <t xml:space="preserve"> </t>
    </r>
    <r>
      <rPr>
        <b/>
        <sz val="11"/>
        <color theme="1"/>
        <rFont val="Calibri"/>
        <family val="2"/>
        <scheme val="minor"/>
      </rPr>
      <t>Bike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</si>
</sst>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i/>
      <sz val="48"/>
      <color theme="1"/>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applyNumberFormat="1"/>
    <xf numFmtId="0" fontId="0" fillId="0" borderId="0" xfId="0" pivotButton="1"/>
    <xf numFmtId="0" fontId="0" fillId="0" borderId="0" xfId="0" applyAlignment="1">
      <alignment horizontal="left"/>
    </xf>
    <xf numFmtId="9" fontId="0" fillId="0" borderId="0" xfId="0" applyNumberFormat="1" applyAlignment="1">
      <alignment horizontal="left"/>
    </xf>
    <xf numFmtId="0" fontId="16" fillId="0" borderId="0" xfId="0" applyFont="1"/>
    <xf numFmtId="0" fontId="0" fillId="33" borderId="0" xfId="0" applyFill="1"/>
    <xf numFmtId="0" fontId="19" fillId="33" borderId="0" xfId="0" applyFont="1" applyFill="1"/>
    <xf numFmtId="0" fontId="20" fillId="33" borderId="0" xfId="0" applyFont="1" applyFill="1"/>
    <xf numFmtId="165"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Table'!$A$5:$A$7</c:f>
              <c:strCache>
                <c:ptCount val="2"/>
                <c:pt idx="0">
                  <c:v>Female</c:v>
                </c:pt>
                <c:pt idx="1">
                  <c:v>Male</c:v>
                </c:pt>
              </c:strCache>
            </c:strRef>
          </c:cat>
          <c:val>
            <c:numRef>
              <c:f>'Pivot Table'!$B$5:$B$7</c:f>
              <c:numCache>
                <c:formatCode>General</c:formatCode>
                <c:ptCount val="2"/>
                <c:pt idx="0">
                  <c:v>45384.615384615383</c:v>
                </c:pt>
                <c:pt idx="1">
                  <c:v>45588.23529411765</c:v>
                </c:pt>
              </c:numCache>
            </c:numRef>
          </c:val>
          <c:extLst>
            <c:ext xmlns:c16="http://schemas.microsoft.com/office/drawing/2014/chart" uri="{C3380CC4-5D6E-409C-BE32-E72D297353CC}">
              <c16:uniqueId val="{00000000-C74B-4F17-AF85-3B4DAA1039F5}"/>
            </c:ext>
          </c:extLst>
        </c:ser>
        <c:ser>
          <c:idx val="1"/>
          <c:order val="1"/>
          <c:tx>
            <c:strRef>
              <c:f>'Pivot Table'!$C$3:$C$4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Table'!$A$5:$A$7</c:f>
              <c:strCache>
                <c:ptCount val="2"/>
                <c:pt idx="0">
                  <c:v>Female</c:v>
                </c:pt>
                <c:pt idx="1">
                  <c:v>Male</c:v>
                </c:pt>
              </c:strCache>
            </c:strRef>
          </c:cat>
          <c:val>
            <c:numRef>
              <c:f>'Pivot Table'!$C$5:$C$7</c:f>
              <c:numCache>
                <c:formatCode>General</c:formatCode>
                <c:ptCount val="2"/>
                <c:pt idx="0">
                  <c:v>50526.315789473687</c:v>
                </c:pt>
                <c:pt idx="1">
                  <c:v>53714.285714285717</c:v>
                </c:pt>
              </c:numCache>
            </c:numRef>
          </c:val>
          <c:extLst>
            <c:ext xmlns:c16="http://schemas.microsoft.com/office/drawing/2014/chart" uri="{C3380CC4-5D6E-409C-BE32-E72D297353CC}">
              <c16:uniqueId val="{00000001-C74B-4F17-AF85-3B4DAA1039F5}"/>
            </c:ext>
          </c:extLst>
        </c:ser>
        <c:dLbls>
          <c:showLegendKey val="0"/>
          <c:showVal val="0"/>
          <c:showCatName val="0"/>
          <c:showSerName val="0"/>
          <c:showPercent val="0"/>
          <c:showBubbleSize val="0"/>
        </c:dLbls>
        <c:gapWidth val="164"/>
        <c:overlap val="-22"/>
        <c:axId val="467515104"/>
        <c:axId val="467520384"/>
      </c:barChart>
      <c:catAx>
        <c:axId val="46751510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0384"/>
        <c:crosses val="autoZero"/>
        <c:auto val="1"/>
        <c:lblAlgn val="ctr"/>
        <c:lblOffset val="100"/>
        <c:noMultiLvlLbl val="0"/>
      </c:catAx>
      <c:valAx>
        <c:axId val="46752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1510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10+ Miles</c:v>
                </c:pt>
                <c:pt idx="2">
                  <c:v>1-2 Miles</c:v>
                </c:pt>
                <c:pt idx="3">
                  <c:v>2-5 Miles</c:v>
                </c:pt>
                <c:pt idx="4">
                  <c:v>5-10 Miles</c:v>
                </c:pt>
              </c:strCache>
            </c:strRef>
          </c:cat>
          <c:val>
            <c:numRef>
              <c:f>'Pivot Table'!$B$23:$B$28</c:f>
              <c:numCache>
                <c:formatCode>General</c:formatCode>
                <c:ptCount val="5"/>
                <c:pt idx="0">
                  <c:v>50</c:v>
                </c:pt>
                <c:pt idx="1">
                  <c:v>8</c:v>
                </c:pt>
                <c:pt idx="2">
                  <c:v>7</c:v>
                </c:pt>
                <c:pt idx="3">
                  <c:v>7</c:v>
                </c:pt>
                <c:pt idx="4">
                  <c:v>1</c:v>
                </c:pt>
              </c:numCache>
            </c:numRef>
          </c:val>
          <c:smooth val="0"/>
          <c:extLst>
            <c:ext xmlns:c16="http://schemas.microsoft.com/office/drawing/2014/chart" uri="{C3380CC4-5D6E-409C-BE32-E72D297353CC}">
              <c16:uniqueId val="{00000000-86D5-4507-8E96-5D49AD5B5BB3}"/>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10+ Miles</c:v>
                </c:pt>
                <c:pt idx="2">
                  <c:v>1-2 Miles</c:v>
                </c:pt>
                <c:pt idx="3">
                  <c:v>2-5 Miles</c:v>
                </c:pt>
                <c:pt idx="4">
                  <c:v>5-10 Miles</c:v>
                </c:pt>
              </c:strCache>
            </c:strRef>
          </c:cat>
          <c:val>
            <c:numRef>
              <c:f>'Pivot Table'!$C$23:$C$28</c:f>
              <c:numCache>
                <c:formatCode>General</c:formatCode>
                <c:ptCount val="5"/>
                <c:pt idx="0">
                  <c:v>53</c:v>
                </c:pt>
                <c:pt idx="1">
                  <c:v>3</c:v>
                </c:pt>
                <c:pt idx="2">
                  <c:v>6</c:v>
                </c:pt>
                <c:pt idx="3">
                  <c:v>3</c:v>
                </c:pt>
                <c:pt idx="4">
                  <c:v>8</c:v>
                </c:pt>
              </c:numCache>
            </c:numRef>
          </c:val>
          <c:smooth val="0"/>
          <c:extLst>
            <c:ext xmlns:c16="http://schemas.microsoft.com/office/drawing/2014/chart" uri="{C3380CC4-5D6E-409C-BE32-E72D297353CC}">
              <c16:uniqueId val="{00000001-86D5-4507-8E96-5D49AD5B5BB3}"/>
            </c:ext>
          </c:extLst>
        </c:ser>
        <c:dLbls>
          <c:showLegendKey val="0"/>
          <c:showVal val="0"/>
          <c:showCatName val="0"/>
          <c:showSerName val="0"/>
          <c:showPercent val="0"/>
          <c:showBubbleSize val="0"/>
        </c:dLbls>
        <c:smooth val="0"/>
        <c:axId val="1531992992"/>
        <c:axId val="1531994432"/>
      </c:lineChart>
      <c:catAx>
        <c:axId val="153199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94432"/>
        <c:crosses val="autoZero"/>
        <c:auto val="1"/>
        <c:lblAlgn val="ctr"/>
        <c:lblOffset val="100"/>
        <c:noMultiLvlLbl val="0"/>
      </c:catAx>
      <c:valAx>
        <c:axId val="153199443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Age Brackets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 Table'!$B$40:$B$41</c:f>
              <c:strCache>
                <c:ptCount val="1"/>
                <c:pt idx="0">
                  <c:v>No</c:v>
                </c:pt>
              </c:strCache>
            </c:strRef>
          </c:tx>
          <c:spPr>
            <a:solidFill>
              <a:schemeClr val="accent1"/>
            </a:solidFill>
            <a:ln>
              <a:noFill/>
            </a:ln>
            <a:effectLst/>
            <a:sp3d/>
          </c:spPr>
          <c:cat>
            <c:strRef>
              <c:f>'Pivot Table'!$A$42:$A$45</c:f>
              <c:strCache>
                <c:ptCount val="3"/>
                <c:pt idx="0">
                  <c:v>Middle Age 31-54</c:v>
                </c:pt>
                <c:pt idx="1">
                  <c:v>Old 55+</c:v>
                </c:pt>
                <c:pt idx="2">
                  <c:v>Adolescent 0-30</c:v>
                </c:pt>
              </c:strCache>
            </c:strRef>
          </c:cat>
          <c:val>
            <c:numRef>
              <c:f>'Pivot Table'!$B$42:$B$45</c:f>
              <c:numCache>
                <c:formatCode>General</c:formatCode>
                <c:ptCount val="3"/>
                <c:pt idx="0">
                  <c:v>48</c:v>
                </c:pt>
                <c:pt idx="1">
                  <c:v>23</c:v>
                </c:pt>
                <c:pt idx="2">
                  <c:v>2</c:v>
                </c:pt>
              </c:numCache>
            </c:numRef>
          </c:val>
          <c:smooth val="0"/>
          <c:extLst>
            <c:ext xmlns:c16="http://schemas.microsoft.com/office/drawing/2014/chart" uri="{C3380CC4-5D6E-409C-BE32-E72D297353CC}">
              <c16:uniqueId val="{00000000-8345-46A2-A702-FD585C1EBDEA}"/>
            </c:ext>
          </c:extLst>
        </c:ser>
        <c:ser>
          <c:idx val="1"/>
          <c:order val="1"/>
          <c:tx>
            <c:strRef>
              <c:f>'Pivot Table'!$C$40:$C$41</c:f>
              <c:strCache>
                <c:ptCount val="1"/>
                <c:pt idx="0">
                  <c:v>Yes</c:v>
                </c:pt>
              </c:strCache>
            </c:strRef>
          </c:tx>
          <c:spPr>
            <a:solidFill>
              <a:schemeClr val="accent2"/>
            </a:solidFill>
            <a:ln>
              <a:noFill/>
            </a:ln>
            <a:effectLst/>
            <a:sp3d/>
          </c:spPr>
          <c:cat>
            <c:strRef>
              <c:f>'Pivot Table'!$A$42:$A$45</c:f>
              <c:strCache>
                <c:ptCount val="3"/>
                <c:pt idx="0">
                  <c:v>Middle Age 31-54</c:v>
                </c:pt>
                <c:pt idx="1">
                  <c:v>Old 55+</c:v>
                </c:pt>
                <c:pt idx="2">
                  <c:v>Adolescent 0-30</c:v>
                </c:pt>
              </c:strCache>
            </c:strRef>
          </c:cat>
          <c:val>
            <c:numRef>
              <c:f>'Pivot Table'!$C$42:$C$45</c:f>
              <c:numCache>
                <c:formatCode>General</c:formatCode>
                <c:ptCount val="3"/>
                <c:pt idx="0">
                  <c:v>62</c:v>
                </c:pt>
                <c:pt idx="1">
                  <c:v>10</c:v>
                </c:pt>
                <c:pt idx="2">
                  <c:v>1</c:v>
                </c:pt>
              </c:numCache>
            </c:numRef>
          </c:val>
          <c:smooth val="0"/>
          <c:extLst>
            <c:ext xmlns:c16="http://schemas.microsoft.com/office/drawing/2014/chart" uri="{C3380CC4-5D6E-409C-BE32-E72D297353CC}">
              <c16:uniqueId val="{00000001-8345-46A2-A702-FD585C1EBDEA}"/>
            </c:ext>
          </c:extLst>
        </c:ser>
        <c:dLbls>
          <c:showLegendKey val="0"/>
          <c:showVal val="0"/>
          <c:showCatName val="0"/>
          <c:showSerName val="0"/>
          <c:showPercent val="0"/>
          <c:showBubbleSize val="0"/>
        </c:dLbls>
        <c:axId val="585648640"/>
        <c:axId val="585642400"/>
        <c:axId val="538438000"/>
      </c:line3DChart>
      <c:catAx>
        <c:axId val="585648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r>
                  <a:rPr lang="en-IN" b="1" baseline="0"/>
                  <a:t> Bracket</a:t>
                </a:r>
                <a:endParaRPr lang="en-IN" b="1"/>
              </a:p>
            </c:rich>
          </c:tx>
          <c:layout>
            <c:manualLayout>
              <c:xMode val="edge"/>
              <c:yMode val="edge"/>
              <c:x val="0.3539971566054243"/>
              <c:y val="0.787737678623505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42400"/>
        <c:crosses val="autoZero"/>
        <c:auto val="1"/>
        <c:lblAlgn val="ctr"/>
        <c:lblOffset val="100"/>
        <c:noMultiLvlLbl val="0"/>
      </c:catAx>
      <c:valAx>
        <c:axId val="5856424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48640"/>
        <c:crosses val="autoZero"/>
        <c:crossBetween val="between"/>
      </c:valAx>
      <c:serAx>
        <c:axId val="538438000"/>
        <c:scaling>
          <c:orientation val="minMax"/>
        </c:scaling>
        <c:delete val="0"/>
        <c:axPos val="b"/>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4240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580927384076985E-2"/>
          <c:y val="0.15968759113444153"/>
          <c:w val="0.65962817147856523"/>
          <c:h val="0.65853091280256637"/>
        </c:manualLayout>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Table'!$A$60:$A$99</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Table'!$B$60:$B$99</c:f>
              <c:numCache>
                <c:formatCode>General</c:formatCode>
                <c:ptCount val="39"/>
                <c:pt idx="1">
                  <c:v>2</c:v>
                </c:pt>
                <c:pt idx="2">
                  <c:v>3</c:v>
                </c:pt>
                <c:pt idx="3">
                  <c:v>1</c:v>
                </c:pt>
                <c:pt idx="4">
                  <c:v>1</c:v>
                </c:pt>
                <c:pt idx="5">
                  <c:v>1</c:v>
                </c:pt>
                <c:pt idx="7">
                  <c:v>1</c:v>
                </c:pt>
                <c:pt idx="8">
                  <c:v>1</c:v>
                </c:pt>
                <c:pt idx="9">
                  <c:v>2</c:v>
                </c:pt>
                <c:pt idx="10">
                  <c:v>3</c:v>
                </c:pt>
                <c:pt idx="11">
                  <c:v>2</c:v>
                </c:pt>
                <c:pt idx="12">
                  <c:v>6</c:v>
                </c:pt>
                <c:pt idx="13">
                  <c:v>5</c:v>
                </c:pt>
                <c:pt idx="14">
                  <c:v>2</c:v>
                </c:pt>
                <c:pt idx="15">
                  <c:v>3</c:v>
                </c:pt>
                <c:pt idx="16">
                  <c:v>1</c:v>
                </c:pt>
                <c:pt idx="17">
                  <c:v>2</c:v>
                </c:pt>
                <c:pt idx="18">
                  <c:v>2</c:v>
                </c:pt>
                <c:pt idx="19">
                  <c:v>2</c:v>
                </c:pt>
                <c:pt idx="20">
                  <c:v>1</c:v>
                </c:pt>
                <c:pt idx="21">
                  <c:v>2</c:v>
                </c:pt>
                <c:pt idx="22">
                  <c:v>3</c:v>
                </c:pt>
                <c:pt idx="23">
                  <c:v>2</c:v>
                </c:pt>
                <c:pt idx="24">
                  <c:v>2</c:v>
                </c:pt>
                <c:pt idx="25">
                  <c:v>2</c:v>
                </c:pt>
                <c:pt idx="26">
                  <c:v>2</c:v>
                </c:pt>
                <c:pt idx="27">
                  <c:v>2</c:v>
                </c:pt>
                <c:pt idx="28">
                  <c:v>3</c:v>
                </c:pt>
                <c:pt idx="29">
                  <c:v>1</c:v>
                </c:pt>
                <c:pt idx="30">
                  <c:v>1</c:v>
                </c:pt>
                <c:pt idx="31">
                  <c:v>2</c:v>
                </c:pt>
                <c:pt idx="32">
                  <c:v>1</c:v>
                </c:pt>
                <c:pt idx="33">
                  <c:v>1</c:v>
                </c:pt>
                <c:pt idx="34">
                  <c:v>3</c:v>
                </c:pt>
                <c:pt idx="35">
                  <c:v>2</c:v>
                </c:pt>
                <c:pt idx="36">
                  <c:v>1</c:v>
                </c:pt>
                <c:pt idx="37">
                  <c:v>1</c:v>
                </c:pt>
                <c:pt idx="38">
                  <c:v>1</c:v>
                </c:pt>
              </c:numCache>
            </c:numRef>
          </c:val>
          <c:smooth val="0"/>
          <c:extLst>
            <c:ext xmlns:c16="http://schemas.microsoft.com/office/drawing/2014/chart" uri="{C3380CC4-5D6E-409C-BE32-E72D297353CC}">
              <c16:uniqueId val="{00000000-C84D-4E18-AAFB-73CAD2863D8F}"/>
            </c:ext>
          </c:extLst>
        </c:ser>
        <c:ser>
          <c:idx val="1"/>
          <c:order val="1"/>
          <c:tx>
            <c:strRef>
              <c:f>'Pivot Table'!$C$58:$C$59</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Table'!$A$60:$A$99</c:f>
              <c:strCache>
                <c:ptCount val="39"/>
                <c:pt idx="0">
                  <c:v>25</c:v>
                </c:pt>
                <c:pt idx="1">
                  <c:v>30</c:v>
                </c:pt>
                <c:pt idx="2">
                  <c:v>32</c:v>
                </c:pt>
                <c:pt idx="3">
                  <c:v>33</c:v>
                </c:pt>
                <c:pt idx="4">
                  <c:v>34</c:v>
                </c:pt>
                <c:pt idx="5">
                  <c:v>35</c:v>
                </c:pt>
                <c:pt idx="6">
                  <c:v>36</c:v>
                </c:pt>
                <c:pt idx="7">
                  <c:v>37</c:v>
                </c:pt>
                <c:pt idx="8">
                  <c:v>38</c:v>
                </c:pt>
                <c:pt idx="9">
                  <c:v>39</c:v>
                </c:pt>
                <c:pt idx="10">
                  <c:v>40</c:v>
                </c:pt>
                <c:pt idx="11">
                  <c:v>41</c:v>
                </c:pt>
                <c:pt idx="12">
                  <c:v>42</c:v>
                </c:pt>
                <c:pt idx="13">
                  <c:v>43</c:v>
                </c:pt>
                <c:pt idx="14">
                  <c:v>44</c:v>
                </c:pt>
                <c:pt idx="15">
                  <c:v>45</c:v>
                </c:pt>
                <c:pt idx="16">
                  <c:v>46</c:v>
                </c:pt>
                <c:pt idx="17">
                  <c:v>47</c:v>
                </c:pt>
                <c:pt idx="18">
                  <c:v>48</c:v>
                </c:pt>
                <c:pt idx="19">
                  <c:v>49</c:v>
                </c:pt>
                <c:pt idx="20">
                  <c:v>50</c:v>
                </c:pt>
                <c:pt idx="21">
                  <c:v>51</c:v>
                </c:pt>
                <c:pt idx="22">
                  <c:v>52</c:v>
                </c:pt>
                <c:pt idx="23">
                  <c:v>53</c:v>
                </c:pt>
                <c:pt idx="24">
                  <c:v>54</c:v>
                </c:pt>
                <c:pt idx="25">
                  <c:v>55</c:v>
                </c:pt>
                <c:pt idx="26">
                  <c:v>56</c:v>
                </c:pt>
                <c:pt idx="27">
                  <c:v>58</c:v>
                </c:pt>
                <c:pt idx="28">
                  <c:v>59</c:v>
                </c:pt>
                <c:pt idx="29">
                  <c:v>60</c:v>
                </c:pt>
                <c:pt idx="30">
                  <c:v>61</c:v>
                </c:pt>
                <c:pt idx="31">
                  <c:v>62</c:v>
                </c:pt>
                <c:pt idx="32">
                  <c:v>63</c:v>
                </c:pt>
                <c:pt idx="33">
                  <c:v>64</c:v>
                </c:pt>
                <c:pt idx="34">
                  <c:v>65</c:v>
                </c:pt>
                <c:pt idx="35">
                  <c:v>66</c:v>
                </c:pt>
                <c:pt idx="36">
                  <c:v>70</c:v>
                </c:pt>
                <c:pt idx="37">
                  <c:v>80</c:v>
                </c:pt>
                <c:pt idx="38">
                  <c:v>89</c:v>
                </c:pt>
              </c:strCache>
            </c:strRef>
          </c:cat>
          <c:val>
            <c:numRef>
              <c:f>'Pivot Table'!$C$60:$C$99</c:f>
              <c:numCache>
                <c:formatCode>General</c:formatCode>
                <c:ptCount val="39"/>
                <c:pt idx="0">
                  <c:v>1</c:v>
                </c:pt>
                <c:pt idx="2">
                  <c:v>3</c:v>
                </c:pt>
                <c:pt idx="3">
                  <c:v>2</c:v>
                </c:pt>
                <c:pt idx="5">
                  <c:v>5</c:v>
                </c:pt>
                <c:pt idx="6">
                  <c:v>3</c:v>
                </c:pt>
                <c:pt idx="7">
                  <c:v>8</c:v>
                </c:pt>
                <c:pt idx="8">
                  <c:v>6</c:v>
                </c:pt>
                <c:pt idx="9">
                  <c:v>1</c:v>
                </c:pt>
                <c:pt idx="10">
                  <c:v>6</c:v>
                </c:pt>
                <c:pt idx="11">
                  <c:v>2</c:v>
                </c:pt>
                <c:pt idx="12">
                  <c:v>2</c:v>
                </c:pt>
                <c:pt idx="13">
                  <c:v>5</c:v>
                </c:pt>
                <c:pt idx="14">
                  <c:v>2</c:v>
                </c:pt>
                <c:pt idx="15">
                  <c:v>1</c:v>
                </c:pt>
                <c:pt idx="16">
                  <c:v>2</c:v>
                </c:pt>
                <c:pt idx="17">
                  <c:v>3</c:v>
                </c:pt>
                <c:pt idx="18">
                  <c:v>1</c:v>
                </c:pt>
                <c:pt idx="20">
                  <c:v>3</c:v>
                </c:pt>
                <c:pt idx="21">
                  <c:v>4</c:v>
                </c:pt>
                <c:pt idx="22">
                  <c:v>1</c:v>
                </c:pt>
                <c:pt idx="23">
                  <c:v>1</c:v>
                </c:pt>
                <c:pt idx="24">
                  <c:v>1</c:v>
                </c:pt>
                <c:pt idx="25">
                  <c:v>1</c:v>
                </c:pt>
                <c:pt idx="26">
                  <c:v>1</c:v>
                </c:pt>
                <c:pt idx="27">
                  <c:v>1</c:v>
                </c:pt>
                <c:pt idx="28">
                  <c:v>1</c:v>
                </c:pt>
                <c:pt idx="30">
                  <c:v>2</c:v>
                </c:pt>
                <c:pt idx="33">
                  <c:v>1</c:v>
                </c:pt>
                <c:pt idx="34">
                  <c:v>1</c:v>
                </c:pt>
                <c:pt idx="35">
                  <c:v>1</c:v>
                </c:pt>
                <c:pt idx="36">
                  <c:v>1</c:v>
                </c:pt>
              </c:numCache>
            </c:numRef>
          </c:val>
          <c:smooth val="0"/>
          <c:extLst>
            <c:ext xmlns:c16="http://schemas.microsoft.com/office/drawing/2014/chart" uri="{C3380CC4-5D6E-409C-BE32-E72D297353CC}">
              <c16:uniqueId val="{00000001-C84D-4E18-AAFB-73CAD2863D8F}"/>
            </c:ext>
          </c:extLst>
        </c:ser>
        <c:dLbls>
          <c:showLegendKey val="0"/>
          <c:showVal val="0"/>
          <c:showCatName val="0"/>
          <c:showSerName val="0"/>
          <c:showPercent val="0"/>
          <c:showBubbleSize val="0"/>
        </c:dLbls>
        <c:marker val="1"/>
        <c:smooth val="0"/>
        <c:axId val="585660640"/>
        <c:axId val="585661120"/>
      </c:lineChart>
      <c:catAx>
        <c:axId val="585660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61120"/>
        <c:crosses val="autoZero"/>
        <c:auto val="1"/>
        <c:lblAlgn val="ctr"/>
        <c:lblOffset val="100"/>
        <c:noMultiLvlLbl val="0"/>
      </c:catAx>
      <c:valAx>
        <c:axId val="585661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60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4"/>
  </c:pivotSource>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IN"/>
              <a:t>Avg</a:t>
            </a:r>
            <a:r>
              <a:rPr lang="en-IN" baseline="0"/>
              <a:t> Income PEr Purchase</a:t>
            </a:r>
            <a:endParaRPr lang="en-IN"/>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IN"/>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Table'!$A$5:$A$7</c:f>
              <c:strCache>
                <c:ptCount val="2"/>
                <c:pt idx="0">
                  <c:v>Female</c:v>
                </c:pt>
                <c:pt idx="1">
                  <c:v>Male</c:v>
                </c:pt>
              </c:strCache>
            </c:strRef>
          </c:cat>
          <c:val>
            <c:numRef>
              <c:f>'Pivot Table'!$B$5:$B$7</c:f>
              <c:numCache>
                <c:formatCode>General</c:formatCode>
                <c:ptCount val="2"/>
                <c:pt idx="0">
                  <c:v>45384.615384615383</c:v>
                </c:pt>
                <c:pt idx="1">
                  <c:v>45588.23529411765</c:v>
                </c:pt>
              </c:numCache>
            </c:numRef>
          </c:val>
          <c:extLst>
            <c:ext xmlns:c16="http://schemas.microsoft.com/office/drawing/2014/chart" uri="{C3380CC4-5D6E-409C-BE32-E72D297353CC}">
              <c16:uniqueId val="{00000000-B151-4A6D-8948-B3E466A083C4}"/>
            </c:ext>
          </c:extLst>
        </c:ser>
        <c:ser>
          <c:idx val="1"/>
          <c:order val="1"/>
          <c:tx>
            <c:strRef>
              <c:f>'Pivot Table'!$C$3:$C$4</c:f>
              <c:strCache>
                <c:ptCount val="1"/>
                <c:pt idx="0">
                  <c:v>Yes</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cat>
            <c:strRef>
              <c:f>'Pivot Table'!$A$5:$A$7</c:f>
              <c:strCache>
                <c:ptCount val="2"/>
                <c:pt idx="0">
                  <c:v>Female</c:v>
                </c:pt>
                <c:pt idx="1">
                  <c:v>Male</c:v>
                </c:pt>
              </c:strCache>
            </c:strRef>
          </c:cat>
          <c:val>
            <c:numRef>
              <c:f>'Pivot Table'!$C$5:$C$7</c:f>
              <c:numCache>
                <c:formatCode>General</c:formatCode>
                <c:ptCount val="2"/>
                <c:pt idx="0">
                  <c:v>50526.315789473687</c:v>
                </c:pt>
                <c:pt idx="1">
                  <c:v>53714.285714285717</c:v>
                </c:pt>
              </c:numCache>
            </c:numRef>
          </c:val>
          <c:extLst>
            <c:ext xmlns:c16="http://schemas.microsoft.com/office/drawing/2014/chart" uri="{C3380CC4-5D6E-409C-BE32-E72D297353CC}">
              <c16:uniqueId val="{00000001-B151-4A6D-8948-B3E466A083C4}"/>
            </c:ext>
          </c:extLst>
        </c:ser>
        <c:dLbls>
          <c:showLegendKey val="0"/>
          <c:showVal val="0"/>
          <c:showCatName val="0"/>
          <c:showSerName val="0"/>
          <c:showPercent val="0"/>
          <c:showBubbleSize val="0"/>
        </c:dLbls>
        <c:gapWidth val="164"/>
        <c:overlap val="-22"/>
        <c:axId val="467515104"/>
        <c:axId val="467520384"/>
      </c:barChart>
      <c:catAx>
        <c:axId val="467515104"/>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20384"/>
        <c:crosses val="autoZero"/>
        <c:auto val="1"/>
        <c:lblAlgn val="ctr"/>
        <c:lblOffset val="100"/>
        <c:noMultiLvlLbl val="0"/>
      </c:catAx>
      <c:valAx>
        <c:axId val="4675203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7515104"/>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10+ Miles</c:v>
                </c:pt>
                <c:pt idx="2">
                  <c:v>1-2 Miles</c:v>
                </c:pt>
                <c:pt idx="3">
                  <c:v>2-5 Miles</c:v>
                </c:pt>
                <c:pt idx="4">
                  <c:v>5-10 Miles</c:v>
                </c:pt>
              </c:strCache>
            </c:strRef>
          </c:cat>
          <c:val>
            <c:numRef>
              <c:f>'Pivot Table'!$B$23:$B$28</c:f>
              <c:numCache>
                <c:formatCode>General</c:formatCode>
                <c:ptCount val="5"/>
                <c:pt idx="0">
                  <c:v>50</c:v>
                </c:pt>
                <c:pt idx="1">
                  <c:v>8</c:v>
                </c:pt>
                <c:pt idx="2">
                  <c:v>7</c:v>
                </c:pt>
                <c:pt idx="3">
                  <c:v>7</c:v>
                </c:pt>
                <c:pt idx="4">
                  <c:v>1</c:v>
                </c:pt>
              </c:numCache>
            </c:numRef>
          </c:val>
          <c:smooth val="0"/>
          <c:extLst>
            <c:ext xmlns:c16="http://schemas.microsoft.com/office/drawing/2014/chart" uri="{C3380CC4-5D6E-409C-BE32-E72D297353CC}">
              <c16:uniqueId val="{00000000-C7C3-44BD-98BB-470B125FBF47}"/>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10+ Miles</c:v>
                </c:pt>
                <c:pt idx="2">
                  <c:v>1-2 Miles</c:v>
                </c:pt>
                <c:pt idx="3">
                  <c:v>2-5 Miles</c:v>
                </c:pt>
                <c:pt idx="4">
                  <c:v>5-10 Miles</c:v>
                </c:pt>
              </c:strCache>
            </c:strRef>
          </c:cat>
          <c:val>
            <c:numRef>
              <c:f>'Pivot Table'!$C$23:$C$28</c:f>
              <c:numCache>
                <c:formatCode>General</c:formatCode>
                <c:ptCount val="5"/>
                <c:pt idx="0">
                  <c:v>53</c:v>
                </c:pt>
                <c:pt idx="1">
                  <c:v>3</c:v>
                </c:pt>
                <c:pt idx="2">
                  <c:v>6</c:v>
                </c:pt>
                <c:pt idx="3">
                  <c:v>3</c:v>
                </c:pt>
                <c:pt idx="4">
                  <c:v>8</c:v>
                </c:pt>
              </c:numCache>
            </c:numRef>
          </c:val>
          <c:smooth val="0"/>
          <c:extLst>
            <c:ext xmlns:c16="http://schemas.microsoft.com/office/drawing/2014/chart" uri="{C3380CC4-5D6E-409C-BE32-E72D297353CC}">
              <c16:uniqueId val="{00000001-C7C3-44BD-98BB-470B125FBF47}"/>
            </c:ext>
          </c:extLst>
        </c:ser>
        <c:dLbls>
          <c:showLegendKey val="0"/>
          <c:showVal val="0"/>
          <c:showCatName val="0"/>
          <c:showSerName val="0"/>
          <c:showPercent val="0"/>
          <c:showBubbleSize val="0"/>
        </c:dLbls>
        <c:smooth val="0"/>
        <c:axId val="1531992992"/>
        <c:axId val="1531994432"/>
      </c:lineChart>
      <c:catAx>
        <c:axId val="153199299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94432"/>
        <c:crosses val="autoZero"/>
        <c:auto val="1"/>
        <c:lblAlgn val="ctr"/>
        <c:lblOffset val="100"/>
        <c:noMultiLvlLbl val="0"/>
      </c:catAx>
      <c:valAx>
        <c:axId val="1531994432"/>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1992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Customer</a:t>
            </a:r>
            <a:r>
              <a:rPr lang="en-IN" b="1" baseline="0"/>
              <a:t> Age Brackets</a:t>
            </a:r>
            <a:endParaRPr lang="en-IN" b="1"/>
          </a:p>
        </c:rich>
      </c:tx>
      <c:layout>
        <c:manualLayout>
          <c:xMode val="edge"/>
          <c:yMode val="edge"/>
          <c:x val="0.31169813682829123"/>
          <c:y val="0.1385996105325544"/>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86227753827596"/>
          <c:y val="0.29584554340723374"/>
          <c:w val="0.57798490944938286"/>
          <c:h val="0.30955989841218517"/>
        </c:manualLayout>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Table'!$A$42:$A$45</c:f>
              <c:strCache>
                <c:ptCount val="3"/>
                <c:pt idx="0">
                  <c:v>Middle Age 31-54</c:v>
                </c:pt>
                <c:pt idx="1">
                  <c:v>Old 55+</c:v>
                </c:pt>
                <c:pt idx="2">
                  <c:v>Adolescent 0-30</c:v>
                </c:pt>
              </c:strCache>
            </c:strRef>
          </c:cat>
          <c:val>
            <c:numRef>
              <c:f>'Pivot Table'!$B$42:$B$45</c:f>
              <c:numCache>
                <c:formatCode>General</c:formatCode>
                <c:ptCount val="3"/>
                <c:pt idx="0">
                  <c:v>48</c:v>
                </c:pt>
                <c:pt idx="1">
                  <c:v>23</c:v>
                </c:pt>
                <c:pt idx="2">
                  <c:v>2</c:v>
                </c:pt>
              </c:numCache>
            </c:numRef>
          </c:val>
          <c:smooth val="0"/>
          <c:extLst>
            <c:ext xmlns:c16="http://schemas.microsoft.com/office/drawing/2014/chart" uri="{C3380CC4-5D6E-409C-BE32-E72D297353CC}">
              <c16:uniqueId val="{00000000-7C15-4841-A0E8-2C8EAD0F78FA}"/>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Table'!$A$42:$A$45</c:f>
              <c:strCache>
                <c:ptCount val="3"/>
                <c:pt idx="0">
                  <c:v>Middle Age 31-54</c:v>
                </c:pt>
                <c:pt idx="1">
                  <c:v>Old 55+</c:v>
                </c:pt>
                <c:pt idx="2">
                  <c:v>Adolescent 0-30</c:v>
                </c:pt>
              </c:strCache>
            </c:strRef>
          </c:cat>
          <c:val>
            <c:numRef>
              <c:f>'Pivot Table'!$C$42:$C$45</c:f>
              <c:numCache>
                <c:formatCode>General</c:formatCode>
                <c:ptCount val="3"/>
                <c:pt idx="0">
                  <c:v>62</c:v>
                </c:pt>
                <c:pt idx="1">
                  <c:v>10</c:v>
                </c:pt>
                <c:pt idx="2">
                  <c:v>1</c:v>
                </c:pt>
              </c:numCache>
            </c:numRef>
          </c:val>
          <c:smooth val="0"/>
          <c:extLst>
            <c:ext xmlns:c16="http://schemas.microsoft.com/office/drawing/2014/chart" uri="{C3380CC4-5D6E-409C-BE32-E72D297353CC}">
              <c16:uniqueId val="{00000001-7C15-4841-A0E8-2C8EAD0F78FA}"/>
            </c:ext>
          </c:extLst>
        </c:ser>
        <c:dLbls>
          <c:showLegendKey val="0"/>
          <c:showVal val="0"/>
          <c:showCatName val="0"/>
          <c:showSerName val="0"/>
          <c:showPercent val="0"/>
          <c:showBubbleSize val="0"/>
        </c:dLbls>
        <c:marker val="1"/>
        <c:smooth val="0"/>
        <c:axId val="585648640"/>
        <c:axId val="585642400"/>
      </c:lineChart>
      <c:catAx>
        <c:axId val="5856486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r>
                  <a:rPr lang="en-IN" b="1" baseline="0"/>
                  <a:t> Bracket</a:t>
                </a:r>
                <a:endParaRPr lang="en-IN" b="1"/>
              </a:p>
            </c:rich>
          </c:tx>
          <c:layout>
            <c:manualLayout>
              <c:xMode val="edge"/>
              <c:yMode val="edge"/>
              <c:x val="0.3539971566054243"/>
              <c:y val="0.7877376786235054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42400"/>
        <c:crosses val="autoZero"/>
        <c:auto val="1"/>
        <c:lblAlgn val="ctr"/>
        <c:lblOffset val="100"/>
        <c:noMultiLvlLbl val="0"/>
      </c:catAx>
      <c:valAx>
        <c:axId val="58564240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56486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15246</xdr:colOff>
      <xdr:row>0</xdr:row>
      <xdr:rowOff>110490</xdr:rowOff>
    </xdr:from>
    <xdr:to>
      <xdr:col>12</xdr:col>
      <xdr:colOff>312420</xdr:colOff>
      <xdr:row>15</xdr:row>
      <xdr:rowOff>83820</xdr:rowOff>
    </xdr:to>
    <xdr:graphicFrame macro="">
      <xdr:nvGraphicFramePr>
        <xdr:cNvPr id="2" name="Chart 1">
          <a:extLst>
            <a:ext uri="{FF2B5EF4-FFF2-40B4-BE49-F238E27FC236}">
              <a16:creationId xmlns:a16="http://schemas.microsoft.com/office/drawing/2014/main" id="{59E6B39D-9DD1-E628-B716-5B14393A08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xdr:colOff>
      <xdr:row>18</xdr:row>
      <xdr:rowOff>118110</xdr:rowOff>
    </xdr:from>
    <xdr:to>
      <xdr:col>12</xdr:col>
      <xdr:colOff>304806</xdr:colOff>
      <xdr:row>33</xdr:row>
      <xdr:rowOff>118110</xdr:rowOff>
    </xdr:to>
    <xdr:graphicFrame macro="">
      <xdr:nvGraphicFramePr>
        <xdr:cNvPr id="3" name="Chart 2">
          <a:extLst>
            <a:ext uri="{FF2B5EF4-FFF2-40B4-BE49-F238E27FC236}">
              <a16:creationId xmlns:a16="http://schemas.microsoft.com/office/drawing/2014/main" id="{88633805-13BB-6C6F-39F3-C046B3BE9E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38</xdr:row>
      <xdr:rowOff>179070</xdr:rowOff>
    </xdr:from>
    <xdr:to>
      <xdr:col>12</xdr:col>
      <xdr:colOff>312420</xdr:colOff>
      <xdr:row>53</xdr:row>
      <xdr:rowOff>179070</xdr:rowOff>
    </xdr:to>
    <xdr:graphicFrame macro="">
      <xdr:nvGraphicFramePr>
        <xdr:cNvPr id="4" name="Chart 3">
          <a:extLst>
            <a:ext uri="{FF2B5EF4-FFF2-40B4-BE49-F238E27FC236}">
              <a16:creationId xmlns:a16="http://schemas.microsoft.com/office/drawing/2014/main" id="{C730B0D5-DA74-54FD-484A-CC1BFF4BA1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22860</xdr:colOff>
      <xdr:row>57</xdr:row>
      <xdr:rowOff>3810</xdr:rowOff>
    </xdr:from>
    <xdr:to>
      <xdr:col>12</xdr:col>
      <xdr:colOff>327660</xdr:colOff>
      <xdr:row>72</xdr:row>
      <xdr:rowOff>3810</xdr:rowOff>
    </xdr:to>
    <xdr:graphicFrame macro="">
      <xdr:nvGraphicFramePr>
        <xdr:cNvPr id="5" name="Chart 4">
          <a:extLst>
            <a:ext uri="{FF2B5EF4-FFF2-40B4-BE49-F238E27FC236}">
              <a16:creationId xmlns:a16="http://schemas.microsoft.com/office/drawing/2014/main" id="{A9E9A776-6437-173F-C03F-1B257E3FA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533399</xdr:colOff>
      <xdr:row>4</xdr:row>
      <xdr:rowOff>30880</xdr:rowOff>
    </xdr:from>
    <xdr:to>
      <xdr:col>12</xdr:col>
      <xdr:colOff>89434</xdr:colOff>
      <xdr:row>16</xdr:row>
      <xdr:rowOff>99461</xdr:rowOff>
    </xdr:to>
    <xdr:graphicFrame macro="">
      <xdr:nvGraphicFramePr>
        <xdr:cNvPr id="2" name="Chart 1">
          <a:extLst>
            <a:ext uri="{FF2B5EF4-FFF2-40B4-BE49-F238E27FC236}">
              <a16:creationId xmlns:a16="http://schemas.microsoft.com/office/drawing/2014/main" id="{067D2F6B-30EF-4C85-B310-BE2C55748B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545833</xdr:colOff>
      <xdr:row>18</xdr:row>
      <xdr:rowOff>166036</xdr:rowOff>
    </xdr:from>
    <xdr:to>
      <xdr:col>20</xdr:col>
      <xdr:colOff>401053</xdr:colOff>
      <xdr:row>32</xdr:row>
      <xdr:rowOff>8422</xdr:rowOff>
    </xdr:to>
    <xdr:graphicFrame macro="">
      <xdr:nvGraphicFramePr>
        <xdr:cNvPr id="3" name="Chart 2">
          <a:extLst>
            <a:ext uri="{FF2B5EF4-FFF2-40B4-BE49-F238E27FC236}">
              <a16:creationId xmlns:a16="http://schemas.microsoft.com/office/drawing/2014/main" id="{5DC5A486-1813-4B08-90EF-04E8EF38D7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15642</xdr:colOff>
      <xdr:row>4</xdr:row>
      <xdr:rowOff>171248</xdr:rowOff>
    </xdr:from>
    <xdr:to>
      <xdr:col>20</xdr:col>
      <xdr:colOff>383407</xdr:colOff>
      <xdr:row>17</xdr:row>
      <xdr:rowOff>51735</xdr:rowOff>
    </xdr:to>
    <xdr:graphicFrame macro="">
      <xdr:nvGraphicFramePr>
        <xdr:cNvPr id="4" name="Chart 3">
          <a:extLst>
            <a:ext uri="{FF2B5EF4-FFF2-40B4-BE49-F238E27FC236}">
              <a16:creationId xmlns:a16="http://schemas.microsoft.com/office/drawing/2014/main" id="{521B9C37-43B7-48DE-A775-424E7E75F6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259480</xdr:colOff>
      <xdr:row>4</xdr:row>
      <xdr:rowOff>32084</xdr:rowOff>
    </xdr:from>
    <xdr:to>
      <xdr:col>4</xdr:col>
      <xdr:colOff>421104</xdr:colOff>
      <xdr:row>8</xdr:row>
      <xdr:rowOff>130343</xdr:rowOff>
    </xdr:to>
    <mc:AlternateContent xmlns:mc="http://schemas.openxmlformats.org/markup-compatibility/2006">
      <mc:Choice xmlns:a14="http://schemas.microsoft.com/office/drawing/2010/main" Requires="a14">
        <xdr:graphicFrame macro="">
          <xdr:nvGraphicFramePr>
            <xdr:cNvPr id="5" name="Martial status">
              <a:extLst>
                <a:ext uri="{FF2B5EF4-FFF2-40B4-BE49-F238E27FC236}">
                  <a16:creationId xmlns:a16="http://schemas.microsoft.com/office/drawing/2014/main" id="{3B30E18B-7636-8BF8-72B8-36677901140A}"/>
                </a:ext>
              </a:extLst>
            </xdr:cNvPr>
            <xdr:cNvGraphicFramePr/>
          </xdr:nvGraphicFramePr>
          <xdr:xfrm>
            <a:off x="0" y="0"/>
            <a:ext cx="0" cy="0"/>
          </xdr:xfrm>
          <a:graphic>
            <a:graphicData uri="http://schemas.microsoft.com/office/drawing/2010/slicer">
              <sle:slicer xmlns:sle="http://schemas.microsoft.com/office/drawing/2010/slicer" name="Martial status"/>
            </a:graphicData>
          </a:graphic>
        </xdr:graphicFrame>
      </mc:Choice>
      <mc:Fallback>
        <xdr:sp macro="" textlink="">
          <xdr:nvSpPr>
            <xdr:cNvPr id="0" name=""/>
            <xdr:cNvSpPr>
              <a:spLocks noTextEdit="1"/>
            </xdr:cNvSpPr>
          </xdr:nvSpPr>
          <xdr:spPr>
            <a:xfrm>
              <a:off x="259480" y="1363173"/>
              <a:ext cx="2592308" cy="8313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226194</xdr:colOff>
      <xdr:row>15</xdr:row>
      <xdr:rowOff>159219</xdr:rowOff>
    </xdr:from>
    <xdr:to>
      <xdr:col>4</xdr:col>
      <xdr:colOff>350921</xdr:colOff>
      <xdr:row>24</xdr:row>
      <xdr:rowOff>150396</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60C10879-F3BC-16D7-46EC-54F16C0EDA93}"/>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226194" y="3506232"/>
              <a:ext cx="2555411" cy="16405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245042</xdr:colOff>
      <xdr:row>9</xdr:row>
      <xdr:rowOff>7621</xdr:rowOff>
    </xdr:from>
    <xdr:to>
      <xdr:col>4</xdr:col>
      <xdr:colOff>350920</xdr:colOff>
      <xdr:row>14</xdr:row>
      <xdr:rowOff>170448</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7DF4FEEA-42A8-CAD9-194E-47CC2126013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45042" y="2255039"/>
              <a:ext cx="2536562" cy="107915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eer lakkireddy" refreshedDate="46061.909911689814" createdVersion="8" refreshedVersion="8" minRefreshableVersion="3" recordCount="1001" xr:uid="{0D9D7CAC-7470-47BF-938A-6EEF2B6A07E9}">
  <cacheSource type="worksheet">
    <worksheetSource ref="A1:N1048576" sheet="Working Sheet"/>
  </cacheSource>
  <cacheFields count="14">
    <cacheField name="ID" numFmtId="0">
      <sharedItems containsString="0" containsBlank="1" containsNumber="1" containsInteger="1" minValue="11000" maxValue="29447"/>
    </cacheField>
    <cacheField name="Martial status" numFmtId="0">
      <sharedItems containsBlank="1" count="3">
        <s v="Married"/>
        <s v="Single"/>
        <m/>
      </sharedItems>
    </cacheField>
    <cacheField name="Gender" numFmtId="0">
      <sharedItems containsBlank="1" count="3">
        <s v="Female"/>
        <s v="Male"/>
        <m/>
      </sharedItems>
    </cacheField>
    <cacheField name="Income" numFmtId="165">
      <sharedItems containsString="0" containsBlank="1" containsNumber="1" containsInteger="1" minValue="10000" maxValue="170000"/>
    </cacheField>
    <cacheField name="Children" numFmtId="0">
      <sharedItems containsString="0" containsBlank="1" containsNumber="1" containsInteger="1" minValue="0" maxValue="5"/>
    </cacheField>
    <cacheField name="Education" numFmtId="0">
      <sharedItems containsBlank="1" count="6">
        <s v="Bachelors"/>
        <s v="Partial College"/>
        <s v="High School"/>
        <s v="Partial High School"/>
        <s v="Graduate Degree"/>
        <m/>
      </sharedItems>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6">
        <s v="0-1 Miles"/>
        <s v="2-5 Miles"/>
        <s v="5-10 Miles"/>
        <s v="1-2 Miles"/>
        <s v="10+ Miles"/>
        <m/>
      </sharedItems>
    </cacheField>
    <cacheField name="Region" numFmtId="0">
      <sharedItems containsBlank="1" count="4">
        <s v="Europe"/>
        <s v="Pacific"/>
        <s v="North America"/>
        <m/>
      </sharedItems>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ount="7">
        <s v="Middle Age 31-54"/>
        <s v="Old 55+"/>
        <s v="Adolescent 0-30"/>
        <m/>
        <s v="Middle Age" u="1"/>
        <s v="Old" u="1"/>
        <s v="Adolescent" u="1"/>
      </sharedItems>
    </cacheField>
    <cacheField name="Purchased Bike" numFmtId="0">
      <sharedItems containsBlank="1" count="3">
        <s v="No"/>
        <s v="Yes"/>
        <m/>
      </sharedItems>
    </cacheField>
  </cacheFields>
  <extLst>
    <ext xmlns:x14="http://schemas.microsoft.com/office/spreadsheetml/2009/9/main" uri="{725AE2AE-9491-48be-B2B4-4EB974FC3084}">
      <x14:pivotCacheDefinition pivotCacheId="20043830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m/>
    <x v="2"/>
    <x v="2"/>
    <m/>
    <m/>
    <x v="5"/>
    <m/>
    <m/>
    <m/>
    <x v="5"/>
    <x v="3"/>
    <x v="53"/>
    <x v="3"/>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31E873-1982-464B-81AD-E6CC79B1F664}"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58:D99"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pivotField showAll="0">
      <items count="5">
        <item x="0"/>
        <item h="1" x="2"/>
        <item h="1" x="1"/>
        <item h="1" x="3"/>
        <item t="default"/>
      </items>
    </pivotField>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h="1" x="2"/>
        <item t="default"/>
      </items>
    </pivotField>
  </pivotFields>
  <rowFields count="1">
    <field x="11"/>
  </rowFields>
  <rowItems count="40">
    <i>
      <x/>
    </i>
    <i>
      <x v="5"/>
    </i>
    <i>
      <x v="7"/>
    </i>
    <i>
      <x v="8"/>
    </i>
    <i>
      <x v="9"/>
    </i>
    <i>
      <x v="10"/>
    </i>
    <i>
      <x v="11"/>
    </i>
    <i>
      <x v="12"/>
    </i>
    <i>
      <x v="13"/>
    </i>
    <i>
      <x v="14"/>
    </i>
    <i>
      <x v="15"/>
    </i>
    <i>
      <x v="16"/>
    </i>
    <i>
      <x v="17"/>
    </i>
    <i>
      <x v="18"/>
    </i>
    <i>
      <x v="19"/>
    </i>
    <i>
      <x v="20"/>
    </i>
    <i>
      <x v="21"/>
    </i>
    <i>
      <x v="22"/>
    </i>
    <i>
      <x v="23"/>
    </i>
    <i>
      <x v="24"/>
    </i>
    <i>
      <x v="25"/>
    </i>
    <i>
      <x v="26"/>
    </i>
    <i>
      <x v="27"/>
    </i>
    <i>
      <x v="28"/>
    </i>
    <i>
      <x v="29"/>
    </i>
    <i>
      <x v="30"/>
    </i>
    <i>
      <x v="31"/>
    </i>
    <i>
      <x v="33"/>
    </i>
    <i>
      <x v="34"/>
    </i>
    <i>
      <x v="35"/>
    </i>
    <i>
      <x v="36"/>
    </i>
    <i>
      <x v="37"/>
    </i>
    <i>
      <x v="38"/>
    </i>
    <i>
      <x v="39"/>
    </i>
    <i>
      <x v="40"/>
    </i>
    <i>
      <x v="41"/>
    </i>
    <i>
      <x v="45"/>
    </i>
    <i>
      <x v="51"/>
    </i>
    <i>
      <x v="52"/>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1BC1D47-BF0F-4CE7-A574-A6429D2FD11B}"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0:D45"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x="4"/>
        <item x="2"/>
        <item x="1"/>
        <item x="3"/>
        <item x="5"/>
        <item t="default"/>
      </items>
    </pivotField>
    <pivotField showAll="0"/>
    <pivotField showAll="0"/>
    <pivotField showAll="0"/>
    <pivotField showAll="0"/>
    <pivotField showAll="0">
      <items count="5">
        <item x="0"/>
        <item h="1" x="2"/>
        <item h="1" x="1"/>
        <item h="1" x="3"/>
        <item t="default"/>
      </items>
    </pivotField>
    <pivotField showAll="0"/>
    <pivotField axis="axisRow" showAll="0">
      <items count="8">
        <item m="1" x="6"/>
        <item m="1" x="4"/>
        <item m="1" x="5"/>
        <item x="3"/>
        <item x="0"/>
        <item x="1"/>
        <item x="2"/>
        <item t="default"/>
      </items>
    </pivotField>
    <pivotField axis="axisCol" dataField="1" showAll="0">
      <items count="4">
        <item x="0"/>
        <item x="1"/>
        <item h="1" x="2"/>
        <item t="default"/>
      </items>
    </pivotField>
  </pivotFields>
  <rowFields count="1">
    <field x="12"/>
  </rowFields>
  <rowItems count="4">
    <i>
      <x v="4"/>
    </i>
    <i>
      <x v="5"/>
    </i>
    <i>
      <x v="6"/>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9A9615-ADEA-4A51-B50A-5F95FDF242E2}"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D7" firstHeaderRow="1" firstDataRow="2" firstDataCol="1"/>
  <pivotFields count="14">
    <pivotField showAll="0"/>
    <pivotField showAll="0">
      <items count="4">
        <item x="0"/>
        <item h="1" x="1"/>
        <item h="1" x="2"/>
        <item t="default"/>
      </items>
    </pivotField>
    <pivotField axis="axisRow" showAll="0">
      <items count="4">
        <item x="0"/>
        <item x="1"/>
        <item h="1" x="2"/>
        <item t="default"/>
      </items>
    </pivotField>
    <pivotField dataField="1" showAll="0"/>
    <pivotField showAll="0"/>
    <pivotField showAll="0">
      <items count="7">
        <item x="0"/>
        <item x="4"/>
        <item x="2"/>
        <item x="1"/>
        <item x="3"/>
        <item x="5"/>
        <item t="default"/>
      </items>
    </pivotField>
    <pivotField showAll="0"/>
    <pivotField showAll="0"/>
    <pivotField showAll="0"/>
    <pivotField showAll="0"/>
    <pivotField showAll="0">
      <items count="5">
        <item x="0"/>
        <item h="1" x="2"/>
        <item h="1" x="1"/>
        <item h="1" x="3"/>
        <item t="default"/>
      </items>
    </pivotField>
    <pivotField showAll="0"/>
    <pivotField showAll="0"/>
    <pivotField axis="axisCol" showAll="0">
      <items count="4">
        <item x="0"/>
        <item x="1"/>
        <item x="2"/>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formats count="1">
    <format dxfId="11">
      <pivotArea dataOnly="0" labelOnly="1" grandRow="1" outline="0" fieldPosition="0"/>
    </format>
  </formats>
  <chartFormats count="5">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2"/>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1DCD26-2C72-4917-9E0A-3A60BB61CA94}"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1:D28" firstHeaderRow="1" firstDataRow="2" firstDataCol="1"/>
  <pivotFields count="14">
    <pivotField showAll="0"/>
    <pivotField showAll="0">
      <items count="4">
        <item x="0"/>
        <item h="1" x="1"/>
        <item h="1" x="2"/>
        <item t="default"/>
      </items>
    </pivotField>
    <pivotField showAll="0"/>
    <pivotField showAll="0"/>
    <pivotField showAll="0"/>
    <pivotField showAll="0">
      <items count="7">
        <item x="0"/>
        <item x="4"/>
        <item x="2"/>
        <item x="1"/>
        <item x="3"/>
        <item x="5"/>
        <item t="default"/>
      </items>
    </pivotField>
    <pivotField showAll="0"/>
    <pivotField showAll="0"/>
    <pivotField showAll="0"/>
    <pivotField axis="axisRow" showAll="0">
      <items count="7">
        <item x="0"/>
        <item x="4"/>
        <item x="3"/>
        <item x="1"/>
        <item x="2"/>
        <item x="5"/>
        <item t="default"/>
      </items>
    </pivotField>
    <pivotField showAll="0">
      <items count="5">
        <item x="0"/>
        <item h="1" x="2"/>
        <item h="1" x="1"/>
        <item h="1" x="3"/>
        <item t="default"/>
      </items>
    </pivotField>
    <pivotField showAll="0"/>
    <pivotField showAll="0"/>
    <pivotField axis="axisCol" dataField="1" showAll="0">
      <items count="4">
        <item x="0"/>
        <item x="1"/>
        <item h="1" x="2"/>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tial_status" xr10:uid="{0B091C4F-9A01-4FEA-B60F-B4104A031852}" sourceName="Martial status">
  <pivotTables>
    <pivotTable tabId="3" name="PivotTable1"/>
    <pivotTable tabId="3" name="PivotTable2"/>
    <pivotTable tabId="3" name="PivotTable3"/>
    <pivotTable tabId="3" name="PivotTable4"/>
  </pivotTables>
  <data>
    <tabular pivotCacheId="2004383055">
      <items count="3">
        <i x="0" s="1"/>
        <i x="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3FEEEDA-69B9-4920-A2A1-B89E07BE85B9}" sourceName="Education">
  <pivotTables>
    <pivotTable tabId="3" name="PivotTable2"/>
    <pivotTable tabId="3" name="PivotTable1"/>
    <pivotTable tabId="3" name="PivotTable3"/>
    <pivotTable tabId="3" name="PivotTable4"/>
  </pivotTables>
  <data>
    <tabular pivotCacheId="2004383055">
      <items count="6">
        <i x="0" s="1"/>
        <i x="4" s="1"/>
        <i x="2" s="1"/>
        <i x="1" s="1"/>
        <i x="3"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2448702-8290-424F-915F-FB6B36D35AC3}" sourceName="Region">
  <pivotTables>
    <pivotTable tabId="3" name="PivotTable2"/>
    <pivotTable tabId="3" name="PivotTable1"/>
    <pivotTable tabId="3" name="PivotTable3"/>
    <pivotTable tabId="3" name="PivotTable4"/>
  </pivotTables>
  <data>
    <tabular pivotCacheId="2004383055">
      <items count="4">
        <i x="0" s="1"/>
        <i x="2"/>
        <i x="1"/>
        <i x="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tial status" xr10:uid="{F1FD2638-940A-4BBC-A710-BD3E5B9BDA18}" cache="Slicer_Martial_status" caption="Martial status" rowHeight="234950"/>
  <slicer name="Education" xr10:uid="{31BE006B-DDD7-4C33-9975-3CBED4221677}" cache="Slicer_Education" caption="Education" rowHeight="234950"/>
  <slicer name="Region" xr10:uid="{58CA173E-0CC9-4E9E-A60F-AD6C03B96DA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sqref="A1:M1048576"/>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7B0BE-9483-4278-BABE-7BC6E8FE269B}">
  <dimension ref="A1:N1001"/>
  <sheetViews>
    <sheetView workbookViewId="0">
      <selection activeCell="A2" sqref="A2"/>
    </sheetView>
  </sheetViews>
  <sheetFormatPr defaultRowHeight="14.4" x14ac:dyDescent="0.3"/>
  <cols>
    <col min="1" max="1" width="14.5546875" customWidth="1"/>
    <col min="2" max="2" width="23.77734375" customWidth="1"/>
    <col min="3" max="3" width="16.6640625" customWidth="1"/>
    <col min="4" max="4" width="16.109375" style="3" customWidth="1"/>
    <col min="5" max="5" width="15.44140625" customWidth="1"/>
    <col min="6" max="6" width="19.33203125" customWidth="1"/>
    <col min="7" max="7" width="14.77734375" customWidth="1"/>
    <col min="8" max="8" width="13.33203125" customWidth="1"/>
    <col min="9" max="9" width="14.77734375" customWidth="1"/>
    <col min="10" max="10" width="19.77734375" customWidth="1"/>
    <col min="11" max="11" width="13.33203125" customWidth="1"/>
    <col min="12" max="12" width="13.5546875" customWidth="1"/>
    <col min="13" max="13" width="32" customWidth="1"/>
    <col min="14" max="14" width="15.44140625" customWidth="1"/>
  </cols>
  <sheetData>
    <row r="1" spans="1:14" x14ac:dyDescent="0.3">
      <c r="A1" s="8" t="s">
        <v>0</v>
      </c>
      <c r="B1" s="8" t="s">
        <v>41</v>
      </c>
      <c r="C1" s="8" t="s">
        <v>2</v>
      </c>
      <c r="D1" s="12" t="s">
        <v>3</v>
      </c>
      <c r="E1" s="8" t="s">
        <v>4</v>
      </c>
      <c r="F1" s="8" t="s">
        <v>5</v>
      </c>
      <c r="G1" s="8" t="s">
        <v>6</v>
      </c>
      <c r="H1" s="8" t="s">
        <v>7</v>
      </c>
      <c r="I1" s="8" t="s">
        <v>8</v>
      </c>
      <c r="J1" s="8" t="s">
        <v>9</v>
      </c>
      <c r="K1" s="8" t="s">
        <v>10</v>
      </c>
      <c r="L1" s="8" t="s">
        <v>11</v>
      </c>
      <c r="M1" s="8" t="s">
        <v>40</v>
      </c>
      <c r="N1" t="s">
        <v>51</v>
      </c>
    </row>
    <row r="2" spans="1:14" x14ac:dyDescent="0.3">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Old</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30</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30</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30</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30</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30</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30</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30</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
      <c r="A97">
        <v>17197</v>
      </c>
      <c r="B97" t="s">
        <v>37</v>
      </c>
      <c r="C97" t="s">
        <v>38</v>
      </c>
      <c r="D97" s="3">
        <v>90000</v>
      </c>
      <c r="E97">
        <v>5</v>
      </c>
      <c r="F97" t="s">
        <v>19</v>
      </c>
      <c r="G97" t="s">
        <v>21</v>
      </c>
      <c r="H97" t="s">
        <v>15</v>
      </c>
      <c r="I97">
        <v>2</v>
      </c>
      <c r="J97" t="s">
        <v>30</v>
      </c>
      <c r="K97" t="s">
        <v>17</v>
      </c>
      <c r="L97">
        <v>62</v>
      </c>
      <c r="M97" t="str">
        <f t="shared" si="1"/>
        <v>Old</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30</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30</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30</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30</v>
      </c>
      <c r="K180" t="s">
        <v>17</v>
      </c>
      <c r="L180">
        <v>55</v>
      </c>
      <c r="M180" t="str">
        <f t="shared" si="2"/>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
      <c r="A186">
        <v>28918</v>
      </c>
      <c r="B186" t="s">
        <v>36</v>
      </c>
      <c r="C186" t="s">
        <v>38</v>
      </c>
      <c r="D186" s="3">
        <v>130000</v>
      </c>
      <c r="E186">
        <v>4</v>
      </c>
      <c r="F186" t="s">
        <v>27</v>
      </c>
      <c r="G186" t="s">
        <v>28</v>
      </c>
      <c r="H186" t="s">
        <v>18</v>
      </c>
      <c r="I186">
        <v>4</v>
      </c>
      <c r="J186" t="s">
        <v>30</v>
      </c>
      <c r="K186" t="s">
        <v>17</v>
      </c>
      <c r="L186">
        <v>58</v>
      </c>
      <c r="M186" t="str">
        <f t="shared" si="2"/>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
      <c r="A189">
        <v>18151</v>
      </c>
      <c r="B189" t="s">
        <v>37</v>
      </c>
      <c r="C189" t="s">
        <v>39</v>
      </c>
      <c r="D189" s="3">
        <v>80000</v>
      </c>
      <c r="E189">
        <v>5</v>
      </c>
      <c r="F189" t="s">
        <v>19</v>
      </c>
      <c r="G189" t="s">
        <v>21</v>
      </c>
      <c r="H189" t="s">
        <v>18</v>
      </c>
      <c r="I189">
        <v>2</v>
      </c>
      <c r="J189" t="s">
        <v>30</v>
      </c>
      <c r="K189" t="s">
        <v>17</v>
      </c>
      <c r="L189">
        <v>59</v>
      </c>
      <c r="M189" t="str">
        <f t="shared" si="2"/>
        <v>Old</v>
      </c>
      <c r="N189" t="s">
        <v>18</v>
      </c>
    </row>
    <row r="190" spans="1:14" x14ac:dyDescent="0.3">
      <c r="A190">
        <v>20606</v>
      </c>
      <c r="B190" t="s">
        <v>36</v>
      </c>
      <c r="C190" t="s">
        <v>38</v>
      </c>
      <c r="D190" s="3">
        <v>70000</v>
      </c>
      <c r="E190">
        <v>0</v>
      </c>
      <c r="F190" t="s">
        <v>13</v>
      </c>
      <c r="G190" t="s">
        <v>21</v>
      </c>
      <c r="H190" t="s">
        <v>15</v>
      </c>
      <c r="I190">
        <v>4</v>
      </c>
      <c r="J190" t="s">
        <v>30</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30</v>
      </c>
      <c r="K194" t="s">
        <v>17</v>
      </c>
      <c r="L194">
        <v>62</v>
      </c>
      <c r="M194" t="str">
        <f t="shared" si="2"/>
        <v>Old</v>
      </c>
      <c r="N194" t="s">
        <v>18</v>
      </c>
    </row>
    <row r="195" spans="1:14" x14ac:dyDescent="0.3">
      <c r="A195">
        <v>26032</v>
      </c>
      <c r="B195" t="s">
        <v>36</v>
      </c>
      <c r="C195" t="s">
        <v>38</v>
      </c>
      <c r="D195" s="3">
        <v>70000</v>
      </c>
      <c r="E195">
        <v>5</v>
      </c>
      <c r="F195" t="s">
        <v>13</v>
      </c>
      <c r="G195" t="s">
        <v>21</v>
      </c>
      <c r="H195" t="s">
        <v>15</v>
      </c>
      <c r="I195">
        <v>4</v>
      </c>
      <c r="J195" t="s">
        <v>30</v>
      </c>
      <c r="K195" t="s">
        <v>24</v>
      </c>
      <c r="L195">
        <v>41</v>
      </c>
      <c r="M195" t="str">
        <f t="shared" ref="M195:M258" si="3">IF(L195&gt;54,"Old",IF(L195&gt;=31,"Middle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30</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30</v>
      </c>
      <c r="K208" t="s">
        <v>17</v>
      </c>
      <c r="L208">
        <v>62</v>
      </c>
      <c r="M208" t="str">
        <f t="shared" si="3"/>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30</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30</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30</v>
      </c>
      <c r="K231" t="s">
        <v>17</v>
      </c>
      <c r="L231">
        <v>57</v>
      </c>
      <c r="M231" t="str">
        <f t="shared" si="3"/>
        <v>Old</v>
      </c>
      <c r="N231" t="s">
        <v>18</v>
      </c>
    </row>
    <row r="232" spans="1:14" x14ac:dyDescent="0.3">
      <c r="A232">
        <v>22830</v>
      </c>
      <c r="B232" t="s">
        <v>36</v>
      </c>
      <c r="C232" t="s">
        <v>39</v>
      </c>
      <c r="D232" s="3">
        <v>120000</v>
      </c>
      <c r="E232">
        <v>4</v>
      </c>
      <c r="F232" t="s">
        <v>19</v>
      </c>
      <c r="G232" t="s">
        <v>28</v>
      </c>
      <c r="H232" t="s">
        <v>15</v>
      </c>
      <c r="I232">
        <v>3</v>
      </c>
      <c r="J232" t="s">
        <v>30</v>
      </c>
      <c r="K232" t="s">
        <v>17</v>
      </c>
      <c r="L232">
        <v>56</v>
      </c>
      <c r="M232" t="str">
        <f t="shared" si="3"/>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30</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30</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30</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30</v>
      </c>
      <c r="K255" t="s">
        <v>17</v>
      </c>
      <c r="L255">
        <v>59</v>
      </c>
      <c r="M255" t="str">
        <f t="shared" si="3"/>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30</v>
      </c>
      <c r="K260" t="s">
        <v>17</v>
      </c>
      <c r="L260">
        <v>56</v>
      </c>
      <c r="M260" t="str">
        <f t="shared" si="4"/>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30</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30</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30</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30</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30</v>
      </c>
      <c r="K331" t="s">
        <v>17</v>
      </c>
      <c r="L331">
        <v>59</v>
      </c>
      <c r="M331" t="str">
        <f t="shared" si="5"/>
        <v>Old</v>
      </c>
      <c r="N331" t="s">
        <v>18</v>
      </c>
    </row>
    <row r="332" spans="1:14" x14ac:dyDescent="0.3">
      <c r="A332">
        <v>24898</v>
      </c>
      <c r="B332" t="s">
        <v>37</v>
      </c>
      <c r="C332" t="s">
        <v>38</v>
      </c>
      <c r="D332" s="3">
        <v>80000</v>
      </c>
      <c r="E332">
        <v>0</v>
      </c>
      <c r="F332" t="s">
        <v>13</v>
      </c>
      <c r="G332" t="s">
        <v>21</v>
      </c>
      <c r="H332" t="s">
        <v>15</v>
      </c>
      <c r="I332">
        <v>3</v>
      </c>
      <c r="J332" t="s">
        <v>30</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30</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
      <c r="A361">
        <v>17230</v>
      </c>
      <c r="B361" t="s">
        <v>36</v>
      </c>
      <c r="C361" t="s">
        <v>39</v>
      </c>
      <c r="D361" s="3">
        <v>80000</v>
      </c>
      <c r="E361">
        <v>0</v>
      </c>
      <c r="F361" t="s">
        <v>13</v>
      </c>
      <c r="G361" t="s">
        <v>21</v>
      </c>
      <c r="H361" t="s">
        <v>15</v>
      </c>
      <c r="I361">
        <v>3</v>
      </c>
      <c r="J361" t="s">
        <v>30</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30</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30</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
      <c r="A384">
        <v>13586</v>
      </c>
      <c r="B384" t="s">
        <v>36</v>
      </c>
      <c r="C384" t="s">
        <v>39</v>
      </c>
      <c r="D384" s="3">
        <v>80000</v>
      </c>
      <c r="E384">
        <v>4</v>
      </c>
      <c r="F384" t="s">
        <v>19</v>
      </c>
      <c r="G384" t="s">
        <v>21</v>
      </c>
      <c r="H384" t="s">
        <v>15</v>
      </c>
      <c r="I384">
        <v>2</v>
      </c>
      <c r="J384" t="s">
        <v>30</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30</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30</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30</v>
      </c>
      <c r="K422" t="s">
        <v>17</v>
      </c>
      <c r="L422">
        <v>59</v>
      </c>
      <c r="M422" t="str">
        <f t="shared" si="6"/>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30</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30</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30</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30</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
      <c r="A460">
        <v>21560</v>
      </c>
      <c r="B460" t="s">
        <v>36</v>
      </c>
      <c r="C460" t="s">
        <v>39</v>
      </c>
      <c r="D460" s="3">
        <v>120000</v>
      </c>
      <c r="E460">
        <v>0</v>
      </c>
      <c r="F460" t="s">
        <v>29</v>
      </c>
      <c r="G460" t="s">
        <v>21</v>
      </c>
      <c r="H460" t="s">
        <v>15</v>
      </c>
      <c r="I460">
        <v>4</v>
      </c>
      <c r="J460" t="s">
        <v>30</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30</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30</v>
      </c>
      <c r="K488" t="s">
        <v>17</v>
      </c>
      <c r="L488">
        <v>58</v>
      </c>
      <c r="M488" t="str">
        <f t="shared" si="7"/>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30</v>
      </c>
      <c r="K495" t="s">
        <v>32</v>
      </c>
      <c r="L495">
        <v>60</v>
      </c>
      <c r="M495" t="str">
        <f t="shared" si="7"/>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30</v>
      </c>
      <c r="K497" t="s">
        <v>32</v>
      </c>
      <c r="L497">
        <v>56</v>
      </c>
      <c r="M497" t="str">
        <f t="shared" si="7"/>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30</v>
      </c>
      <c r="K515" t="s">
        <v>32</v>
      </c>
      <c r="L515">
        <v>61</v>
      </c>
      <c r="M515" t="str">
        <f t="shared" ref="M515:M578" si="8">IF(L515&gt;54,"Old",IF(L515&gt;=31,"Middle Age",IF(L515&lt;31,"Adolescent","Invalid")))</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30</v>
      </c>
      <c r="K523" t="s">
        <v>32</v>
      </c>
      <c r="L523">
        <v>62</v>
      </c>
      <c r="M523" t="str">
        <f t="shared" si="8"/>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
      <c r="A527">
        <v>16791</v>
      </c>
      <c r="B527" t="s">
        <v>37</v>
      </c>
      <c r="C527" t="s">
        <v>39</v>
      </c>
      <c r="D527" s="3">
        <v>60000</v>
      </c>
      <c r="E527">
        <v>5</v>
      </c>
      <c r="F527" t="s">
        <v>13</v>
      </c>
      <c r="G527" t="s">
        <v>28</v>
      </c>
      <c r="H527" t="s">
        <v>15</v>
      </c>
      <c r="I527">
        <v>3</v>
      </c>
      <c r="J527" t="s">
        <v>30</v>
      </c>
      <c r="K527" t="s">
        <v>32</v>
      </c>
      <c r="L527">
        <v>59</v>
      </c>
      <c r="M527" t="str">
        <f t="shared" si="8"/>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30</v>
      </c>
      <c r="K531" t="s">
        <v>32</v>
      </c>
      <c r="L531">
        <v>57</v>
      </c>
      <c r="M531" t="str">
        <f t="shared" si="8"/>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30</v>
      </c>
      <c r="K535" t="s">
        <v>32</v>
      </c>
      <c r="L535">
        <v>66</v>
      </c>
      <c r="M535" t="str">
        <f t="shared" si="8"/>
        <v>Old</v>
      </c>
      <c r="N535" t="s">
        <v>18</v>
      </c>
    </row>
    <row r="536" spans="1:14" x14ac:dyDescent="0.3">
      <c r="A536">
        <v>24637</v>
      </c>
      <c r="B536" t="s">
        <v>36</v>
      </c>
      <c r="C536" t="s">
        <v>39</v>
      </c>
      <c r="D536" s="3">
        <v>40000</v>
      </c>
      <c r="E536">
        <v>4</v>
      </c>
      <c r="F536" t="s">
        <v>27</v>
      </c>
      <c r="G536" t="s">
        <v>21</v>
      </c>
      <c r="H536" t="s">
        <v>15</v>
      </c>
      <c r="I536">
        <v>2</v>
      </c>
      <c r="J536" t="s">
        <v>30</v>
      </c>
      <c r="K536" t="s">
        <v>32</v>
      </c>
      <c r="L536">
        <v>64</v>
      </c>
      <c r="M536" t="str">
        <f t="shared" si="8"/>
        <v>Old</v>
      </c>
      <c r="N536" t="s">
        <v>18</v>
      </c>
    </row>
    <row r="537" spans="1:14" x14ac:dyDescent="0.3">
      <c r="A537">
        <v>23893</v>
      </c>
      <c r="B537" t="s">
        <v>36</v>
      </c>
      <c r="C537" t="s">
        <v>39</v>
      </c>
      <c r="D537" s="3">
        <v>50000</v>
      </c>
      <c r="E537">
        <v>3</v>
      </c>
      <c r="F537" t="s">
        <v>13</v>
      </c>
      <c r="G537" t="s">
        <v>14</v>
      </c>
      <c r="H537" t="s">
        <v>15</v>
      </c>
      <c r="I537">
        <v>3</v>
      </c>
      <c r="J537" t="s">
        <v>30</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30</v>
      </c>
      <c r="K553" t="s">
        <v>32</v>
      </c>
      <c r="L553">
        <v>63</v>
      </c>
      <c r="M553" t="str">
        <f t="shared" si="8"/>
        <v>Old</v>
      </c>
      <c r="N553" t="s">
        <v>18</v>
      </c>
    </row>
    <row r="554" spans="1:14" x14ac:dyDescent="0.3">
      <c r="A554">
        <v>14417</v>
      </c>
      <c r="B554" t="s">
        <v>37</v>
      </c>
      <c r="C554" t="s">
        <v>39</v>
      </c>
      <c r="D554" s="3">
        <v>60000</v>
      </c>
      <c r="E554">
        <v>3</v>
      </c>
      <c r="F554" t="s">
        <v>27</v>
      </c>
      <c r="G554" t="s">
        <v>21</v>
      </c>
      <c r="H554" t="s">
        <v>15</v>
      </c>
      <c r="I554">
        <v>2</v>
      </c>
      <c r="J554" t="s">
        <v>30</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30</v>
      </c>
      <c r="K561" t="s">
        <v>32</v>
      </c>
      <c r="L561">
        <v>58</v>
      </c>
      <c r="M561" t="str">
        <f t="shared" si="8"/>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30</v>
      </c>
      <c r="K571" t="s">
        <v>32</v>
      </c>
      <c r="L571">
        <v>69</v>
      </c>
      <c r="M571" t="str">
        <f t="shared" si="8"/>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30</v>
      </c>
      <c r="K577" t="s">
        <v>32</v>
      </c>
      <c r="L577">
        <v>56</v>
      </c>
      <c r="M577" t="str">
        <f t="shared" si="8"/>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30</v>
      </c>
      <c r="K582" t="s">
        <v>32</v>
      </c>
      <c r="L582">
        <v>69</v>
      </c>
      <c r="M582" t="str">
        <f t="shared" si="9"/>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30</v>
      </c>
      <c r="K585" t="s">
        <v>32</v>
      </c>
      <c r="L585">
        <v>66</v>
      </c>
      <c r="M585" t="str">
        <f t="shared" si="9"/>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30</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30</v>
      </c>
      <c r="K591" t="s">
        <v>32</v>
      </c>
      <c r="L591">
        <v>57</v>
      </c>
      <c r="M591" t="str">
        <f t="shared" si="9"/>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30</v>
      </c>
      <c r="K593" t="s">
        <v>32</v>
      </c>
      <c r="L593">
        <v>61</v>
      </c>
      <c r="M593" t="str">
        <f t="shared" si="9"/>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30</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
      <c r="A643">
        <v>21441</v>
      </c>
      <c r="B643" t="s">
        <v>36</v>
      </c>
      <c r="C643" t="s">
        <v>39</v>
      </c>
      <c r="D643" s="3">
        <v>50000</v>
      </c>
      <c r="E643">
        <v>4</v>
      </c>
      <c r="F643" t="s">
        <v>13</v>
      </c>
      <c r="G643" t="s">
        <v>28</v>
      </c>
      <c r="H643" t="s">
        <v>15</v>
      </c>
      <c r="I643">
        <v>2</v>
      </c>
      <c r="J643" t="s">
        <v>30</v>
      </c>
      <c r="K643" t="s">
        <v>32</v>
      </c>
      <c r="L643">
        <v>64</v>
      </c>
      <c r="M643" t="str">
        <f t="shared" ref="M643:M706" si="10">IF(L643&gt;54,"Old",IF(L643&gt;=31,"Middle Age",IF(L643&lt;31,"Adolescent","Invalid")))</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30</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30</v>
      </c>
      <c r="K652" t="s">
        <v>32</v>
      </c>
      <c r="L652">
        <v>67</v>
      </c>
      <c r="M652" t="str">
        <f t="shared" si="10"/>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30</v>
      </c>
      <c r="K661" t="s">
        <v>32</v>
      </c>
      <c r="L661">
        <v>63</v>
      </c>
      <c r="M661" t="str">
        <f t="shared" si="10"/>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30</v>
      </c>
      <c r="K669" t="s">
        <v>32</v>
      </c>
      <c r="L669">
        <v>61</v>
      </c>
      <c r="M669" t="str">
        <f t="shared" si="10"/>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30</v>
      </c>
      <c r="K672" t="s">
        <v>32</v>
      </c>
      <c r="L672">
        <v>59</v>
      </c>
      <c r="M672" t="str">
        <f t="shared" si="10"/>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
      <c r="A681">
        <v>21770</v>
      </c>
      <c r="B681" t="s">
        <v>36</v>
      </c>
      <c r="C681" t="s">
        <v>39</v>
      </c>
      <c r="D681" s="3">
        <v>60000</v>
      </c>
      <c r="E681">
        <v>4</v>
      </c>
      <c r="F681" t="s">
        <v>13</v>
      </c>
      <c r="G681" t="s">
        <v>28</v>
      </c>
      <c r="H681" t="s">
        <v>15</v>
      </c>
      <c r="I681">
        <v>2</v>
      </c>
      <c r="J681" t="s">
        <v>30</v>
      </c>
      <c r="K681" t="s">
        <v>32</v>
      </c>
      <c r="L681">
        <v>60</v>
      </c>
      <c r="M681" t="str">
        <f t="shared" si="10"/>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30</v>
      </c>
      <c r="K707" t="s">
        <v>32</v>
      </c>
      <c r="L707">
        <v>59</v>
      </c>
      <c r="M707" t="str">
        <f t="shared" ref="M707:M770" si="11">IF(L707&gt;54,"Old",IF(L707&gt;=31,"Middle Age",IF(L707&lt;31,"Adolescent","Invalid")))</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30</v>
      </c>
      <c r="K710" t="s">
        <v>32</v>
      </c>
      <c r="L710">
        <v>60</v>
      </c>
      <c r="M710" t="str">
        <f t="shared" si="11"/>
        <v>Old</v>
      </c>
      <c r="N710" t="s">
        <v>18</v>
      </c>
    </row>
    <row r="711" spans="1:14" x14ac:dyDescent="0.3">
      <c r="A711">
        <v>23712</v>
      </c>
      <c r="B711" t="s">
        <v>37</v>
      </c>
      <c r="C711" t="s">
        <v>38</v>
      </c>
      <c r="D711" s="3">
        <v>70000</v>
      </c>
      <c r="E711">
        <v>2</v>
      </c>
      <c r="F711" t="s">
        <v>13</v>
      </c>
      <c r="G711" t="s">
        <v>28</v>
      </c>
      <c r="H711" t="s">
        <v>15</v>
      </c>
      <c r="I711">
        <v>1</v>
      </c>
      <c r="J711" t="s">
        <v>30</v>
      </c>
      <c r="K711" t="s">
        <v>32</v>
      </c>
      <c r="L711">
        <v>59</v>
      </c>
      <c r="M711" t="str">
        <f t="shared" si="11"/>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30</v>
      </c>
      <c r="K713" t="s">
        <v>32</v>
      </c>
      <c r="L713">
        <v>58</v>
      </c>
      <c r="M713" t="str">
        <f t="shared" si="11"/>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30</v>
      </c>
      <c r="K741" t="s">
        <v>32</v>
      </c>
      <c r="L741">
        <v>55</v>
      </c>
      <c r="M741" t="str">
        <f t="shared" si="11"/>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30</v>
      </c>
      <c r="K746" t="s">
        <v>32</v>
      </c>
      <c r="L746">
        <v>56</v>
      </c>
      <c r="M746" t="str">
        <f t="shared" si="11"/>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30</v>
      </c>
      <c r="K748" t="s">
        <v>32</v>
      </c>
      <c r="L748">
        <v>56</v>
      </c>
      <c r="M748" t="str">
        <f t="shared" si="11"/>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30</v>
      </c>
      <c r="K763" t="s">
        <v>32</v>
      </c>
      <c r="L763">
        <v>59</v>
      </c>
      <c r="M763" t="str">
        <f t="shared" si="11"/>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30</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30</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30</v>
      </c>
      <c r="K782" t="s">
        <v>32</v>
      </c>
      <c r="L782">
        <v>55</v>
      </c>
      <c r="M782" t="str">
        <f t="shared" si="12"/>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30</v>
      </c>
      <c r="K814" t="s">
        <v>32</v>
      </c>
      <c r="L814">
        <v>61</v>
      </c>
      <c r="M814" t="str">
        <f t="shared" si="12"/>
        <v>Old</v>
      </c>
      <c r="N814" t="s">
        <v>18</v>
      </c>
    </row>
    <row r="815" spans="1:14" x14ac:dyDescent="0.3">
      <c r="A815">
        <v>25899</v>
      </c>
      <c r="B815" t="s">
        <v>36</v>
      </c>
      <c r="C815" t="s">
        <v>38</v>
      </c>
      <c r="D815" s="3">
        <v>70000</v>
      </c>
      <c r="E815">
        <v>2</v>
      </c>
      <c r="F815" t="s">
        <v>27</v>
      </c>
      <c r="G815" t="s">
        <v>21</v>
      </c>
      <c r="H815" t="s">
        <v>15</v>
      </c>
      <c r="I815">
        <v>2</v>
      </c>
      <c r="J815" t="s">
        <v>30</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30</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30</v>
      </c>
      <c r="K846" t="s">
        <v>32</v>
      </c>
      <c r="L846">
        <v>60</v>
      </c>
      <c r="M846" t="str">
        <f t="shared" si="13"/>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30</v>
      </c>
      <c r="K868" t="s">
        <v>32</v>
      </c>
      <c r="L868">
        <v>55</v>
      </c>
      <c r="M868" t="str">
        <f t="shared" si="13"/>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30</v>
      </c>
      <c r="K870" t="s">
        <v>32</v>
      </c>
      <c r="L870">
        <v>60</v>
      </c>
      <c r="M870" t="str">
        <f t="shared" si="13"/>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30</v>
      </c>
      <c r="K873" t="s">
        <v>32</v>
      </c>
      <c r="L873">
        <v>55</v>
      </c>
      <c r="M873" t="str">
        <f t="shared" si="13"/>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30</v>
      </c>
      <c r="K900" t="s">
        <v>32</v>
      </c>
      <c r="L900">
        <v>60</v>
      </c>
      <c r="M900" t="str">
        <f t="shared" si="14"/>
        <v>Old</v>
      </c>
      <c r="N900" t="s">
        <v>15</v>
      </c>
    </row>
    <row r="901" spans="1:14" x14ac:dyDescent="0.3">
      <c r="A901">
        <v>28192</v>
      </c>
      <c r="B901" t="s">
        <v>36</v>
      </c>
      <c r="C901" t="s">
        <v>38</v>
      </c>
      <c r="D901" s="3">
        <v>70000</v>
      </c>
      <c r="E901">
        <v>5</v>
      </c>
      <c r="F901" t="s">
        <v>31</v>
      </c>
      <c r="G901" t="s">
        <v>21</v>
      </c>
      <c r="H901" t="s">
        <v>15</v>
      </c>
      <c r="I901">
        <v>3</v>
      </c>
      <c r="J901" t="s">
        <v>30</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30</v>
      </c>
      <c r="K909" t="s">
        <v>32</v>
      </c>
      <c r="L909">
        <v>63</v>
      </c>
      <c r="M909" t="str">
        <f t="shared" si="14"/>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30</v>
      </c>
      <c r="K917" t="s">
        <v>32</v>
      </c>
      <c r="L917">
        <v>64</v>
      </c>
      <c r="M917" t="str">
        <f t="shared" si="14"/>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30</v>
      </c>
      <c r="K921" t="s">
        <v>32</v>
      </c>
      <c r="L921">
        <v>61</v>
      </c>
      <c r="M921" t="str">
        <f t="shared" si="14"/>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30</v>
      </c>
      <c r="K928" t="s">
        <v>32</v>
      </c>
      <c r="L928">
        <v>57</v>
      </c>
      <c r="M928" t="str">
        <f t="shared" si="14"/>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30</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30</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3">
      <c r="A964">
        <v>16813</v>
      </c>
      <c r="B964" t="s">
        <v>36</v>
      </c>
      <c r="C964" t="s">
        <v>39</v>
      </c>
      <c r="D964" s="3">
        <v>60000</v>
      </c>
      <c r="E964">
        <v>2</v>
      </c>
      <c r="F964" t="s">
        <v>19</v>
      </c>
      <c r="G964" t="s">
        <v>21</v>
      </c>
      <c r="H964" t="s">
        <v>15</v>
      </c>
      <c r="I964">
        <v>2</v>
      </c>
      <c r="J964" t="s">
        <v>30</v>
      </c>
      <c r="K964" t="s">
        <v>32</v>
      </c>
      <c r="L964">
        <v>55</v>
      </c>
      <c r="M964" t="str">
        <f t="shared" si="15"/>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
      <c r="A966">
        <v>27434</v>
      </c>
      <c r="B966" t="s">
        <v>37</v>
      </c>
      <c r="C966" t="s">
        <v>39</v>
      </c>
      <c r="D966" s="3">
        <v>70000</v>
      </c>
      <c r="E966">
        <v>4</v>
      </c>
      <c r="F966" t="s">
        <v>19</v>
      </c>
      <c r="G966" t="s">
        <v>21</v>
      </c>
      <c r="H966" t="s">
        <v>15</v>
      </c>
      <c r="I966">
        <v>1</v>
      </c>
      <c r="J966" t="s">
        <v>30</v>
      </c>
      <c r="K966" t="s">
        <v>32</v>
      </c>
      <c r="L966">
        <v>56</v>
      </c>
      <c r="M966" t="str">
        <f t="shared" si="15"/>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30</v>
      </c>
      <c r="K978" t="s">
        <v>32</v>
      </c>
      <c r="L978">
        <v>66</v>
      </c>
      <c r="M978" t="str">
        <f t="shared" si="15"/>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30</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30</v>
      </c>
      <c r="K988" t="s">
        <v>32</v>
      </c>
      <c r="L988">
        <v>60</v>
      </c>
      <c r="M988" t="str">
        <f t="shared" si="15"/>
        <v>Old</v>
      </c>
      <c r="N988" t="s">
        <v>15</v>
      </c>
    </row>
    <row r="989" spans="1:14" x14ac:dyDescent="0.3">
      <c r="A989">
        <v>28972</v>
      </c>
      <c r="B989" t="s">
        <v>37</v>
      </c>
      <c r="C989" t="s">
        <v>38</v>
      </c>
      <c r="D989" s="3">
        <v>60000</v>
      </c>
      <c r="E989">
        <v>3</v>
      </c>
      <c r="F989" t="s">
        <v>31</v>
      </c>
      <c r="G989" t="s">
        <v>28</v>
      </c>
      <c r="H989" t="s">
        <v>15</v>
      </c>
      <c r="I989">
        <v>2</v>
      </c>
      <c r="J989" t="s">
        <v>30</v>
      </c>
      <c r="K989" t="s">
        <v>32</v>
      </c>
      <c r="L989">
        <v>66</v>
      </c>
      <c r="M989" t="str">
        <f t="shared" si="15"/>
        <v>Old</v>
      </c>
      <c r="N989" t="s">
        <v>18</v>
      </c>
    </row>
    <row r="990" spans="1:14" x14ac:dyDescent="0.3">
      <c r="A990">
        <v>22730</v>
      </c>
      <c r="B990" t="s">
        <v>36</v>
      </c>
      <c r="C990" t="s">
        <v>39</v>
      </c>
      <c r="D990" s="3">
        <v>70000</v>
      </c>
      <c r="E990">
        <v>5</v>
      </c>
      <c r="F990" t="s">
        <v>13</v>
      </c>
      <c r="G990" t="s">
        <v>28</v>
      </c>
      <c r="H990" t="s">
        <v>15</v>
      </c>
      <c r="I990">
        <v>2</v>
      </c>
      <c r="J990" t="s">
        <v>30</v>
      </c>
      <c r="K990" t="s">
        <v>32</v>
      </c>
      <c r="L990">
        <v>63</v>
      </c>
      <c r="M990" t="str">
        <f t="shared" si="15"/>
        <v>Old</v>
      </c>
      <c r="N990" t="s">
        <v>18</v>
      </c>
    </row>
    <row r="991" spans="1:14" x14ac:dyDescent="0.3">
      <c r="A991">
        <v>29134</v>
      </c>
      <c r="B991" t="s">
        <v>36</v>
      </c>
      <c r="C991" t="s">
        <v>39</v>
      </c>
      <c r="D991" s="3">
        <v>60000</v>
      </c>
      <c r="E991">
        <v>4</v>
      </c>
      <c r="F991" t="s">
        <v>13</v>
      </c>
      <c r="G991" t="s">
        <v>14</v>
      </c>
      <c r="H991" t="s">
        <v>18</v>
      </c>
      <c r="I991">
        <v>3</v>
      </c>
      <c r="J991" t="s">
        <v>30</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30</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32F60-3662-4FD9-B668-DFB0B19F8B53}">
  <dimension ref="A3:D99"/>
  <sheetViews>
    <sheetView workbookViewId="0">
      <selection activeCell="K55" sqref="K55"/>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s>
  <sheetData>
    <row r="3" spans="1:4" x14ac:dyDescent="0.3">
      <c r="A3" s="5" t="s">
        <v>44</v>
      </c>
      <c r="B3" s="5" t="s">
        <v>45</v>
      </c>
    </row>
    <row r="4" spans="1:4" x14ac:dyDescent="0.3">
      <c r="A4" s="5" t="s">
        <v>42</v>
      </c>
      <c r="B4" t="s">
        <v>18</v>
      </c>
      <c r="C4" t="s">
        <v>15</v>
      </c>
      <c r="D4" t="s">
        <v>43</v>
      </c>
    </row>
    <row r="5" spans="1:4" x14ac:dyDescent="0.3">
      <c r="A5" s="6" t="s">
        <v>38</v>
      </c>
      <c r="B5" s="4">
        <v>45384.615384615383</v>
      </c>
      <c r="C5" s="4">
        <v>50526.315789473687</v>
      </c>
      <c r="D5" s="4">
        <v>47922.077922077922</v>
      </c>
    </row>
    <row r="6" spans="1:4" x14ac:dyDescent="0.3">
      <c r="A6" s="6" t="s">
        <v>39</v>
      </c>
      <c r="B6" s="4">
        <v>45588.23529411765</v>
      </c>
      <c r="C6" s="4">
        <v>53714.285714285717</v>
      </c>
      <c r="D6" s="4">
        <v>49710.144927536232</v>
      </c>
    </row>
    <row r="7" spans="1:4" x14ac:dyDescent="0.3">
      <c r="A7" s="7" t="s">
        <v>43</v>
      </c>
      <c r="B7" s="4">
        <v>45479.452054794521</v>
      </c>
      <c r="C7" s="4">
        <v>52054.794520547948</v>
      </c>
      <c r="D7" s="4">
        <v>48767.123287671231</v>
      </c>
    </row>
    <row r="21" spans="1:4" x14ac:dyDescent="0.3">
      <c r="A21" s="5" t="s">
        <v>46</v>
      </c>
      <c r="B21" s="5" t="s">
        <v>45</v>
      </c>
    </row>
    <row r="22" spans="1:4" x14ac:dyDescent="0.3">
      <c r="A22" s="5" t="s">
        <v>42</v>
      </c>
      <c r="B22" t="s">
        <v>18</v>
      </c>
      <c r="C22" t="s">
        <v>15</v>
      </c>
      <c r="D22" t="s">
        <v>43</v>
      </c>
    </row>
    <row r="23" spans="1:4" x14ac:dyDescent="0.3">
      <c r="A23" s="6" t="s">
        <v>16</v>
      </c>
      <c r="B23" s="4">
        <v>50</v>
      </c>
      <c r="C23" s="4">
        <v>53</v>
      </c>
      <c r="D23" s="4">
        <v>103</v>
      </c>
    </row>
    <row r="24" spans="1:4" x14ac:dyDescent="0.3">
      <c r="A24" s="6" t="s">
        <v>30</v>
      </c>
      <c r="B24" s="4">
        <v>8</v>
      </c>
      <c r="C24" s="4">
        <v>3</v>
      </c>
      <c r="D24" s="4">
        <v>11</v>
      </c>
    </row>
    <row r="25" spans="1:4" x14ac:dyDescent="0.3">
      <c r="A25" s="6" t="s">
        <v>26</v>
      </c>
      <c r="B25" s="4">
        <v>7</v>
      </c>
      <c r="C25" s="4">
        <v>6</v>
      </c>
      <c r="D25" s="4">
        <v>13</v>
      </c>
    </row>
    <row r="26" spans="1:4" x14ac:dyDescent="0.3">
      <c r="A26" s="6" t="s">
        <v>22</v>
      </c>
      <c r="B26" s="4">
        <v>7</v>
      </c>
      <c r="C26" s="4">
        <v>3</v>
      </c>
      <c r="D26" s="4">
        <v>10</v>
      </c>
    </row>
    <row r="27" spans="1:4" x14ac:dyDescent="0.3">
      <c r="A27" s="6" t="s">
        <v>23</v>
      </c>
      <c r="B27" s="4">
        <v>1</v>
      </c>
      <c r="C27" s="4">
        <v>8</v>
      </c>
      <c r="D27" s="4">
        <v>9</v>
      </c>
    </row>
    <row r="28" spans="1:4" x14ac:dyDescent="0.3">
      <c r="A28" s="6" t="s">
        <v>43</v>
      </c>
      <c r="B28" s="4">
        <v>73</v>
      </c>
      <c r="C28" s="4">
        <v>73</v>
      </c>
      <c r="D28" s="4">
        <v>146</v>
      </c>
    </row>
    <row r="40" spans="1:4" x14ac:dyDescent="0.3">
      <c r="A40" s="5" t="s">
        <v>46</v>
      </c>
      <c r="B40" s="5" t="s">
        <v>45</v>
      </c>
    </row>
    <row r="41" spans="1:4" x14ac:dyDescent="0.3">
      <c r="A41" s="5" t="s">
        <v>42</v>
      </c>
      <c r="B41" t="s">
        <v>18</v>
      </c>
      <c r="C41" t="s">
        <v>15</v>
      </c>
      <c r="D41" t="s">
        <v>43</v>
      </c>
    </row>
    <row r="42" spans="1:4" x14ac:dyDescent="0.3">
      <c r="A42" s="6" t="s">
        <v>47</v>
      </c>
      <c r="B42" s="4">
        <v>48</v>
      </c>
      <c r="C42" s="4">
        <v>62</v>
      </c>
      <c r="D42" s="4">
        <v>110</v>
      </c>
    </row>
    <row r="43" spans="1:4" x14ac:dyDescent="0.3">
      <c r="A43" s="6" t="s">
        <v>48</v>
      </c>
      <c r="B43" s="4">
        <v>23</v>
      </c>
      <c r="C43" s="4">
        <v>10</v>
      </c>
      <c r="D43" s="4">
        <v>33</v>
      </c>
    </row>
    <row r="44" spans="1:4" x14ac:dyDescent="0.3">
      <c r="A44" s="6" t="s">
        <v>49</v>
      </c>
      <c r="B44" s="4">
        <v>2</v>
      </c>
      <c r="C44" s="4">
        <v>1</v>
      </c>
      <c r="D44" s="4">
        <v>3</v>
      </c>
    </row>
    <row r="45" spans="1:4" x14ac:dyDescent="0.3">
      <c r="A45" s="6" t="s">
        <v>43</v>
      </c>
      <c r="B45" s="4">
        <v>73</v>
      </c>
      <c r="C45" s="4">
        <v>73</v>
      </c>
      <c r="D45" s="4">
        <v>146</v>
      </c>
    </row>
    <row r="58" spans="1:4" x14ac:dyDescent="0.3">
      <c r="A58" s="5" t="s">
        <v>46</v>
      </c>
      <c r="B58" s="5" t="s">
        <v>45</v>
      </c>
    </row>
    <row r="59" spans="1:4" x14ac:dyDescent="0.3">
      <c r="A59" s="5" t="s">
        <v>42</v>
      </c>
      <c r="B59" t="s">
        <v>18</v>
      </c>
      <c r="C59" t="s">
        <v>15</v>
      </c>
      <c r="D59" t="s">
        <v>43</v>
      </c>
    </row>
    <row r="60" spans="1:4" x14ac:dyDescent="0.3">
      <c r="A60" s="6">
        <v>25</v>
      </c>
      <c r="B60" s="4"/>
      <c r="C60" s="4">
        <v>1</v>
      </c>
      <c r="D60" s="4">
        <v>1</v>
      </c>
    </row>
    <row r="61" spans="1:4" x14ac:dyDescent="0.3">
      <c r="A61" s="6">
        <v>30</v>
      </c>
      <c r="B61" s="4">
        <v>2</v>
      </c>
      <c r="C61" s="4"/>
      <c r="D61" s="4">
        <v>2</v>
      </c>
    </row>
    <row r="62" spans="1:4" x14ac:dyDescent="0.3">
      <c r="A62" s="6">
        <v>32</v>
      </c>
      <c r="B62" s="4">
        <v>3</v>
      </c>
      <c r="C62" s="4">
        <v>3</v>
      </c>
      <c r="D62" s="4">
        <v>6</v>
      </c>
    </row>
    <row r="63" spans="1:4" x14ac:dyDescent="0.3">
      <c r="A63" s="6">
        <v>33</v>
      </c>
      <c r="B63" s="4">
        <v>1</v>
      </c>
      <c r="C63" s="4">
        <v>2</v>
      </c>
      <c r="D63" s="4">
        <v>3</v>
      </c>
    </row>
    <row r="64" spans="1:4" x14ac:dyDescent="0.3">
      <c r="A64" s="6">
        <v>34</v>
      </c>
      <c r="B64" s="4">
        <v>1</v>
      </c>
      <c r="C64" s="4"/>
      <c r="D64" s="4">
        <v>1</v>
      </c>
    </row>
    <row r="65" spans="1:4" x14ac:dyDescent="0.3">
      <c r="A65" s="6">
        <v>35</v>
      </c>
      <c r="B65" s="4">
        <v>1</v>
      </c>
      <c r="C65" s="4">
        <v>5</v>
      </c>
      <c r="D65" s="4">
        <v>6</v>
      </c>
    </row>
    <row r="66" spans="1:4" x14ac:dyDescent="0.3">
      <c r="A66" s="6">
        <v>36</v>
      </c>
      <c r="B66" s="4"/>
      <c r="C66" s="4">
        <v>3</v>
      </c>
      <c r="D66" s="4">
        <v>3</v>
      </c>
    </row>
    <row r="67" spans="1:4" x14ac:dyDescent="0.3">
      <c r="A67" s="6">
        <v>37</v>
      </c>
      <c r="B67" s="4">
        <v>1</v>
      </c>
      <c r="C67" s="4">
        <v>8</v>
      </c>
      <c r="D67" s="4">
        <v>9</v>
      </c>
    </row>
    <row r="68" spans="1:4" x14ac:dyDescent="0.3">
      <c r="A68" s="6">
        <v>38</v>
      </c>
      <c r="B68" s="4">
        <v>1</v>
      </c>
      <c r="C68" s="4">
        <v>6</v>
      </c>
      <c r="D68" s="4">
        <v>7</v>
      </c>
    </row>
    <row r="69" spans="1:4" x14ac:dyDescent="0.3">
      <c r="A69" s="6">
        <v>39</v>
      </c>
      <c r="B69" s="4">
        <v>2</v>
      </c>
      <c r="C69" s="4">
        <v>1</v>
      </c>
      <c r="D69" s="4">
        <v>3</v>
      </c>
    </row>
    <row r="70" spans="1:4" x14ac:dyDescent="0.3">
      <c r="A70" s="6">
        <v>40</v>
      </c>
      <c r="B70" s="4">
        <v>3</v>
      </c>
      <c r="C70" s="4">
        <v>6</v>
      </c>
      <c r="D70" s="4">
        <v>9</v>
      </c>
    </row>
    <row r="71" spans="1:4" x14ac:dyDescent="0.3">
      <c r="A71" s="6">
        <v>41</v>
      </c>
      <c r="B71" s="4">
        <v>2</v>
      </c>
      <c r="C71" s="4">
        <v>2</v>
      </c>
      <c r="D71" s="4">
        <v>4</v>
      </c>
    </row>
    <row r="72" spans="1:4" x14ac:dyDescent="0.3">
      <c r="A72" s="6">
        <v>42</v>
      </c>
      <c r="B72" s="4">
        <v>6</v>
      </c>
      <c r="C72" s="4">
        <v>2</v>
      </c>
      <c r="D72" s="4">
        <v>8</v>
      </c>
    </row>
    <row r="73" spans="1:4" x14ac:dyDescent="0.3">
      <c r="A73" s="6">
        <v>43</v>
      </c>
      <c r="B73" s="4">
        <v>5</v>
      </c>
      <c r="C73" s="4">
        <v>5</v>
      </c>
      <c r="D73" s="4">
        <v>10</v>
      </c>
    </row>
    <row r="74" spans="1:4" x14ac:dyDescent="0.3">
      <c r="A74" s="6">
        <v>44</v>
      </c>
      <c r="B74" s="4">
        <v>2</v>
      </c>
      <c r="C74" s="4">
        <v>2</v>
      </c>
      <c r="D74" s="4">
        <v>4</v>
      </c>
    </row>
    <row r="75" spans="1:4" x14ac:dyDescent="0.3">
      <c r="A75" s="6">
        <v>45</v>
      </c>
      <c r="B75" s="4">
        <v>3</v>
      </c>
      <c r="C75" s="4">
        <v>1</v>
      </c>
      <c r="D75" s="4">
        <v>4</v>
      </c>
    </row>
    <row r="76" spans="1:4" x14ac:dyDescent="0.3">
      <c r="A76" s="6">
        <v>46</v>
      </c>
      <c r="B76" s="4">
        <v>1</v>
      </c>
      <c r="C76" s="4">
        <v>2</v>
      </c>
      <c r="D76" s="4">
        <v>3</v>
      </c>
    </row>
    <row r="77" spans="1:4" x14ac:dyDescent="0.3">
      <c r="A77" s="6">
        <v>47</v>
      </c>
      <c r="B77" s="4">
        <v>2</v>
      </c>
      <c r="C77" s="4">
        <v>3</v>
      </c>
      <c r="D77" s="4">
        <v>5</v>
      </c>
    </row>
    <row r="78" spans="1:4" x14ac:dyDescent="0.3">
      <c r="A78" s="6">
        <v>48</v>
      </c>
      <c r="B78" s="4">
        <v>2</v>
      </c>
      <c r="C78" s="4">
        <v>1</v>
      </c>
      <c r="D78" s="4">
        <v>3</v>
      </c>
    </row>
    <row r="79" spans="1:4" x14ac:dyDescent="0.3">
      <c r="A79" s="6">
        <v>49</v>
      </c>
      <c r="B79" s="4">
        <v>2</v>
      </c>
      <c r="C79" s="4"/>
      <c r="D79" s="4">
        <v>2</v>
      </c>
    </row>
    <row r="80" spans="1:4" x14ac:dyDescent="0.3">
      <c r="A80" s="6">
        <v>50</v>
      </c>
      <c r="B80" s="4">
        <v>1</v>
      </c>
      <c r="C80" s="4">
        <v>3</v>
      </c>
      <c r="D80" s="4">
        <v>4</v>
      </c>
    </row>
    <row r="81" spans="1:4" x14ac:dyDescent="0.3">
      <c r="A81" s="6">
        <v>51</v>
      </c>
      <c r="B81" s="4">
        <v>2</v>
      </c>
      <c r="C81" s="4">
        <v>4</v>
      </c>
      <c r="D81" s="4">
        <v>6</v>
      </c>
    </row>
    <row r="82" spans="1:4" x14ac:dyDescent="0.3">
      <c r="A82" s="6">
        <v>52</v>
      </c>
      <c r="B82" s="4">
        <v>3</v>
      </c>
      <c r="C82" s="4">
        <v>1</v>
      </c>
      <c r="D82" s="4">
        <v>4</v>
      </c>
    </row>
    <row r="83" spans="1:4" x14ac:dyDescent="0.3">
      <c r="A83" s="6">
        <v>53</v>
      </c>
      <c r="B83" s="4">
        <v>2</v>
      </c>
      <c r="C83" s="4">
        <v>1</v>
      </c>
      <c r="D83" s="4">
        <v>3</v>
      </c>
    </row>
    <row r="84" spans="1:4" x14ac:dyDescent="0.3">
      <c r="A84" s="6">
        <v>54</v>
      </c>
      <c r="B84" s="4">
        <v>2</v>
      </c>
      <c r="C84" s="4">
        <v>1</v>
      </c>
      <c r="D84" s="4">
        <v>3</v>
      </c>
    </row>
    <row r="85" spans="1:4" x14ac:dyDescent="0.3">
      <c r="A85" s="6">
        <v>55</v>
      </c>
      <c r="B85" s="4">
        <v>2</v>
      </c>
      <c r="C85" s="4">
        <v>1</v>
      </c>
      <c r="D85" s="4">
        <v>3</v>
      </c>
    </row>
    <row r="86" spans="1:4" x14ac:dyDescent="0.3">
      <c r="A86" s="6">
        <v>56</v>
      </c>
      <c r="B86" s="4">
        <v>2</v>
      </c>
      <c r="C86" s="4">
        <v>1</v>
      </c>
      <c r="D86" s="4">
        <v>3</v>
      </c>
    </row>
    <row r="87" spans="1:4" x14ac:dyDescent="0.3">
      <c r="A87" s="6">
        <v>58</v>
      </c>
      <c r="B87" s="4">
        <v>2</v>
      </c>
      <c r="C87" s="4">
        <v>1</v>
      </c>
      <c r="D87" s="4">
        <v>3</v>
      </c>
    </row>
    <row r="88" spans="1:4" x14ac:dyDescent="0.3">
      <c r="A88" s="6">
        <v>59</v>
      </c>
      <c r="B88" s="4">
        <v>3</v>
      </c>
      <c r="C88" s="4">
        <v>1</v>
      </c>
      <c r="D88" s="4">
        <v>4</v>
      </c>
    </row>
    <row r="89" spans="1:4" x14ac:dyDescent="0.3">
      <c r="A89" s="6">
        <v>60</v>
      </c>
      <c r="B89" s="4">
        <v>1</v>
      </c>
      <c r="C89" s="4"/>
      <c r="D89" s="4">
        <v>1</v>
      </c>
    </row>
    <row r="90" spans="1:4" x14ac:dyDescent="0.3">
      <c r="A90" s="6">
        <v>61</v>
      </c>
      <c r="B90" s="4">
        <v>1</v>
      </c>
      <c r="C90" s="4">
        <v>2</v>
      </c>
      <c r="D90" s="4">
        <v>3</v>
      </c>
    </row>
    <row r="91" spans="1:4" x14ac:dyDescent="0.3">
      <c r="A91" s="6">
        <v>62</v>
      </c>
      <c r="B91" s="4">
        <v>2</v>
      </c>
      <c r="C91" s="4"/>
      <c r="D91" s="4">
        <v>2</v>
      </c>
    </row>
    <row r="92" spans="1:4" x14ac:dyDescent="0.3">
      <c r="A92" s="6">
        <v>63</v>
      </c>
      <c r="B92" s="4">
        <v>1</v>
      </c>
      <c r="C92" s="4"/>
      <c r="D92" s="4">
        <v>1</v>
      </c>
    </row>
    <row r="93" spans="1:4" x14ac:dyDescent="0.3">
      <c r="A93" s="6">
        <v>64</v>
      </c>
      <c r="B93" s="4">
        <v>1</v>
      </c>
      <c r="C93" s="4">
        <v>1</v>
      </c>
      <c r="D93" s="4">
        <v>2</v>
      </c>
    </row>
    <row r="94" spans="1:4" x14ac:dyDescent="0.3">
      <c r="A94" s="6">
        <v>65</v>
      </c>
      <c r="B94" s="4">
        <v>3</v>
      </c>
      <c r="C94" s="4">
        <v>1</v>
      </c>
      <c r="D94" s="4">
        <v>4</v>
      </c>
    </row>
    <row r="95" spans="1:4" x14ac:dyDescent="0.3">
      <c r="A95" s="6">
        <v>66</v>
      </c>
      <c r="B95" s="4">
        <v>2</v>
      </c>
      <c r="C95" s="4">
        <v>1</v>
      </c>
      <c r="D95" s="4">
        <v>3</v>
      </c>
    </row>
    <row r="96" spans="1:4" x14ac:dyDescent="0.3">
      <c r="A96" s="6">
        <v>70</v>
      </c>
      <c r="B96" s="4">
        <v>1</v>
      </c>
      <c r="C96" s="4">
        <v>1</v>
      </c>
      <c r="D96" s="4">
        <v>2</v>
      </c>
    </row>
    <row r="97" spans="1:4" x14ac:dyDescent="0.3">
      <c r="A97" s="6">
        <v>80</v>
      </c>
      <c r="B97" s="4">
        <v>1</v>
      </c>
      <c r="C97" s="4"/>
      <c r="D97" s="4">
        <v>1</v>
      </c>
    </row>
    <row r="98" spans="1:4" x14ac:dyDescent="0.3">
      <c r="A98" s="6">
        <v>89</v>
      </c>
      <c r="B98" s="4">
        <v>1</v>
      </c>
      <c r="C98" s="4"/>
      <c r="D98" s="4">
        <v>1</v>
      </c>
    </row>
    <row r="99" spans="1:4" x14ac:dyDescent="0.3">
      <c r="A99" s="6" t="s">
        <v>43</v>
      </c>
      <c r="B99" s="4">
        <v>73</v>
      </c>
      <c r="C99" s="4">
        <v>73</v>
      </c>
      <c r="D99" s="4">
        <v>146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676D7D-A779-4190-A04F-CFC924FAA0F5}">
  <dimension ref="A1:Q4"/>
  <sheetViews>
    <sheetView showGridLines="0" tabSelected="1" zoomScale="79" zoomScaleNormal="79" workbookViewId="0">
      <selection activeCell="M35" sqref="M35"/>
    </sheetView>
  </sheetViews>
  <sheetFormatPr defaultRowHeight="14.4" x14ac:dyDescent="0.3"/>
  <sheetData>
    <row r="1" spans="1:17" x14ac:dyDescent="0.3">
      <c r="A1" s="9"/>
      <c r="B1" s="9"/>
      <c r="C1" s="9"/>
      <c r="D1" s="9"/>
      <c r="E1" s="9"/>
      <c r="F1" s="9"/>
      <c r="G1" s="9"/>
      <c r="H1" s="9"/>
      <c r="I1" s="9"/>
      <c r="J1" s="9"/>
      <c r="K1" s="9"/>
      <c r="L1" s="9"/>
      <c r="M1" s="9"/>
      <c r="N1" s="9"/>
      <c r="O1" s="9"/>
      <c r="P1" s="9"/>
      <c r="Q1" s="9"/>
    </row>
    <row r="2" spans="1:17" x14ac:dyDescent="0.3">
      <c r="A2" s="9"/>
      <c r="B2" s="9"/>
      <c r="C2" s="9"/>
      <c r="D2" s="9"/>
      <c r="E2" s="9"/>
      <c r="F2" s="9"/>
      <c r="G2" s="9"/>
      <c r="H2" s="9"/>
      <c r="I2" s="9"/>
      <c r="J2" s="9"/>
      <c r="K2" s="9"/>
      <c r="L2" s="9"/>
      <c r="M2" s="9"/>
      <c r="N2" s="9"/>
      <c r="O2" s="9"/>
      <c r="P2" s="9"/>
      <c r="Q2" s="9"/>
    </row>
    <row r="3" spans="1:17" ht="61.2" x14ac:dyDescent="1.1000000000000001">
      <c r="A3" s="9"/>
      <c r="B3" s="9"/>
      <c r="C3" s="10" t="s">
        <v>50</v>
      </c>
      <c r="D3" s="10"/>
      <c r="E3" s="10"/>
      <c r="F3" s="10"/>
      <c r="G3" s="10"/>
      <c r="H3" s="10"/>
      <c r="I3" s="10"/>
      <c r="J3" s="11"/>
      <c r="K3" s="11"/>
      <c r="L3" s="11"/>
      <c r="M3" s="11"/>
      <c r="N3" s="9"/>
      <c r="O3" s="9"/>
      <c r="P3" s="9"/>
      <c r="Q3" s="9"/>
    </row>
    <row r="4" spans="1:17" x14ac:dyDescent="0.3">
      <c r="A4" s="9"/>
      <c r="B4" s="9"/>
      <c r="C4" s="9"/>
      <c r="D4" s="9"/>
      <c r="E4" s="9"/>
      <c r="F4" s="9"/>
      <c r="G4" s="9"/>
      <c r="H4" s="9"/>
      <c r="I4" s="9"/>
      <c r="J4" s="9"/>
      <c r="K4" s="9"/>
      <c r="L4" s="9"/>
      <c r="M4" s="9"/>
      <c r="N4" s="9"/>
      <c r="O4" s="9"/>
      <c r="P4" s="9"/>
      <c r="Q4" s="9"/>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lakkireddylakshmi99@gmail.com</cp:lastModifiedBy>
  <dcterms:created xsi:type="dcterms:W3CDTF">2022-03-18T02:50:57Z</dcterms:created>
  <dcterms:modified xsi:type="dcterms:W3CDTF">2026-02-08T17:07:45Z</dcterms:modified>
</cp:coreProperties>
</file>